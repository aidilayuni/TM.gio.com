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uni Mahdhir\Music\TM WORK FOLDER\WEEKLY\"/>
    </mc:Choice>
  </mc:AlternateContent>
  <xr:revisionPtr revIDLastSave="0" documentId="13_ncr:1_{608C1094-3D97-4441-A436-920A93877EF8}" xr6:coauthVersionLast="47" xr6:coauthVersionMax="47" xr10:uidLastSave="{00000000-0000-0000-0000-000000000000}"/>
  <bookViews>
    <workbookView xWindow="14295" yWindow="0" windowWidth="14610" windowHeight="15585" tabRatio="876" firstSheet="2" activeTab="4" xr2:uid="{00000000-000D-0000-FFFF-FFFF00000000}"/>
  </bookViews>
  <sheets>
    <sheet name="KP_ActionPlan" sheetId="117" state="hidden" r:id="rId1"/>
    <sheet name="KP" sheetId="114" state="hidden" r:id="rId2"/>
    <sheet name="KP_2025_CFF" sheetId="120" r:id="rId3"/>
    <sheet name="KP_2025_DDZ" sheetId="125" r:id="rId4"/>
    <sheet name="KP_2025_NFF" sheetId="122" r:id="rId5"/>
    <sheet name="PK" sheetId="115" state="hidden" r:id="rId6"/>
    <sheet name="PP" sheetId="113" state="hidden" r:id="rId7"/>
    <sheet name="Northern" sheetId="105" state="hidden" r:id="rId8"/>
    <sheet name="WK23" sheetId="86" state="hidden" r:id="rId9"/>
    <sheet name="WK22" sheetId="82" state="hidden" r:id="rId10"/>
    <sheet name="Sheet1" sheetId="109" state="hidden" r:id="rId11"/>
    <sheet name="CXC" sheetId="15" state="hidden" r:id="rId12"/>
    <sheet name="FR OP" sheetId="8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15" l="1"/>
  <c r="G45" i="15" l="1"/>
  <c r="J43" i="15" l="1"/>
  <c r="J42" i="15"/>
  <c r="J30" i="15"/>
  <c r="J29" i="15"/>
  <c r="J28" i="15"/>
  <c r="J27" i="15"/>
  <c r="J26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O45" i="15" l="1"/>
  <c r="R45" i="15" l="1"/>
  <c r="Q45" i="15"/>
  <c r="P45" i="15"/>
  <c r="N45" i="15"/>
  <c r="M45" i="15"/>
  <c r="L45" i="15"/>
  <c r="K45" i="15"/>
  <c r="J23" i="15" l="1"/>
  <c r="J24" i="15"/>
  <c r="J20" i="15"/>
  <c r="J21" i="15"/>
  <c r="J22" i="15"/>
</calcChain>
</file>

<file path=xl/sharedStrings.xml><?xml version="1.0" encoding="utf-8"?>
<sst xmlns="http://schemas.openxmlformats.org/spreadsheetml/2006/main" count="1285" uniqueCount="313">
  <si>
    <t>Source System</t>
  </si>
  <si>
    <t>tm force</t>
  </si>
  <si>
    <t>NIA</t>
  </si>
  <si>
    <t>PBI Network</t>
  </si>
  <si>
    <t xml:space="preserve">WK 33 ending  13 Aug 2022 - KPI METRICS SUMMARY </t>
  </si>
  <si>
    <r>
      <t xml:space="preserve">% Cycle Time to Install within 4 days </t>
    </r>
    <r>
      <rPr>
        <b/>
        <sz val="10"/>
        <color rgb="FF000000"/>
        <rFont val="Calibri"/>
        <family val="2"/>
        <scheme val="minor"/>
      </rPr>
      <t>(CTI)</t>
    </r>
  </si>
  <si>
    <r>
      <t>% Meeting Customer Appointment - Installation</t>
    </r>
    <r>
      <rPr>
        <b/>
        <sz val="10"/>
        <rFont val="Calibri"/>
        <family val="2"/>
        <scheme val="minor"/>
      </rPr>
      <t xml:space="preserve"> (MCATi)</t>
    </r>
  </si>
  <si>
    <r>
      <t>% Meeting Customer Appointment - Installation</t>
    </r>
    <r>
      <rPr>
        <b/>
        <sz val="10"/>
        <rFont val="Calibri"/>
        <family val="2"/>
        <scheme val="minor"/>
      </rPr>
      <t xml:space="preserve"> (MCATi HSBA)</t>
    </r>
  </si>
  <si>
    <r>
      <t xml:space="preserve">% Return Order - Technical </t>
    </r>
    <r>
      <rPr>
        <b/>
        <sz val="10"/>
        <color rgb="FF000000"/>
        <rFont val="Calibri"/>
        <family val="2"/>
        <scheme val="minor"/>
      </rPr>
      <t>(ROT)</t>
    </r>
  </si>
  <si>
    <t>% Cycle Time To Slot (CTS)</t>
  </si>
  <si>
    <r>
      <t xml:space="preserve">% Cycle Time in Return Order 3 days </t>
    </r>
    <r>
      <rPr>
        <b/>
        <sz val="10"/>
        <color rgb="FF000000"/>
        <rFont val="Calibri"/>
        <family val="2"/>
        <scheme val="minor"/>
      </rPr>
      <t>(CTIR)</t>
    </r>
  </si>
  <si>
    <r>
      <t xml:space="preserve">Service Fault Rate </t>
    </r>
    <r>
      <rPr>
        <b/>
        <sz val="10"/>
        <color rgb="FF000000"/>
        <rFont val="Calibri"/>
        <family val="2"/>
        <scheme val="minor"/>
      </rPr>
      <t>(SFRU)</t>
    </r>
    <r>
      <rPr>
        <sz val="10"/>
        <color rgb="FF000000"/>
        <rFont val="Calibri"/>
        <family val="2"/>
        <scheme val="minor"/>
      </rPr>
      <t xml:space="preserve"> </t>
    </r>
  </si>
  <si>
    <t>Network Fault Rate (NFRU)</t>
  </si>
  <si>
    <t>% MCAT 15 Minutes + Slotting Appointment (MCATr R3)</t>
  </si>
  <si>
    <t>% MCAT r3_2023</t>
  </si>
  <si>
    <r>
      <t xml:space="preserve">% Service Restoration within 24hrs </t>
    </r>
    <r>
      <rPr>
        <b/>
        <sz val="10"/>
        <color rgb="FF000000"/>
        <rFont val="Calibri"/>
        <family val="2"/>
        <scheme val="minor"/>
      </rPr>
      <t>(SR24 Unifi)</t>
    </r>
  </si>
  <si>
    <r>
      <t xml:space="preserve">% Network Restoration within 24hrs </t>
    </r>
    <r>
      <rPr>
        <b/>
        <sz val="10"/>
        <color rgb="FF000000"/>
        <rFont val="Calibri"/>
        <family val="2"/>
        <scheme val="minor"/>
      </rPr>
      <t>(NR24 Unifi)</t>
    </r>
  </si>
  <si>
    <r>
      <t xml:space="preserve">First Fix Right </t>
    </r>
    <r>
      <rPr>
        <b/>
        <sz val="10"/>
        <color rgb="FF000000"/>
        <rFont val="Calibri"/>
        <family val="2"/>
        <scheme val="minor"/>
      </rPr>
      <t>(FFR)</t>
    </r>
    <r>
      <rPr>
        <sz val="10"/>
        <color rgb="FF000000"/>
        <rFont val="Calibri"/>
        <family val="2"/>
        <scheme val="minor"/>
      </rPr>
      <t xml:space="preserve"> %</t>
    </r>
  </si>
  <si>
    <t>%TNPSF</t>
  </si>
  <si>
    <t>%TNPSA</t>
  </si>
  <si>
    <r>
      <t xml:space="preserve">Fiber SA + NSA With 8Hrs </t>
    </r>
    <r>
      <rPr>
        <b/>
        <sz val="10"/>
        <color rgb="FFFF0000"/>
        <rFont val="Calibri"/>
        <family val="2"/>
        <scheme val="minor"/>
      </rPr>
      <t>- week15</t>
    </r>
  </si>
  <si>
    <r>
      <t xml:space="preserve">96Access 12 Hrs - </t>
    </r>
    <r>
      <rPr>
        <b/>
        <sz val="10"/>
        <color rgb="FFFF0000"/>
        <rFont val="Calibri"/>
        <family val="2"/>
        <scheme val="minor"/>
      </rPr>
      <t>week15</t>
    </r>
  </si>
  <si>
    <r>
      <t xml:space="preserve">PRI ACCESS : Restoration in 4 Hrs (3rd Party) - </t>
    </r>
    <r>
      <rPr>
        <b/>
        <sz val="10"/>
        <color rgb="FFFF0000"/>
        <rFont val="Calibri"/>
        <family val="2"/>
        <scheme val="minor"/>
      </rPr>
      <t>week15</t>
    </r>
  </si>
  <si>
    <r>
      <t xml:space="preserve">PRI ACCESS : Restoration in 12 Hrs (TM Power,3rd Party) - </t>
    </r>
    <r>
      <rPr>
        <b/>
        <sz val="10"/>
        <color rgb="FFFF0000"/>
        <rFont val="Calibri"/>
        <family val="2"/>
        <scheme val="minor"/>
      </rPr>
      <t>week15</t>
    </r>
  </si>
  <si>
    <t>Bil</t>
  </si>
  <si>
    <t>Target</t>
  </si>
  <si>
    <t>KP</t>
  </si>
  <si>
    <t>AS</t>
  </si>
  <si>
    <t>ROOT CAUSE</t>
  </si>
  <si>
    <t>ACTION PLAN</t>
  </si>
  <si>
    <t>JI</t>
  </si>
  <si>
    <t>KM</t>
  </si>
  <si>
    <t>LK</t>
  </si>
  <si>
    <t>PL</t>
  </si>
  <si>
    <t>SP</t>
  </si>
  <si>
    <t xml:space="preserve">** Rawdata Powerbi download </t>
  </si>
  <si>
    <t>Journey</t>
  </si>
  <si>
    <t>CXC</t>
  </si>
  <si>
    <t xml:space="preserve">WK 14th  ending  08th Apr 2023 - KPI METRICS SUMMARY </t>
  </si>
  <si>
    <t>TARGET</t>
  </si>
  <si>
    <t>NATIONWIDE</t>
  </si>
  <si>
    <t>STATE</t>
  </si>
  <si>
    <t>KEDAH/PERLIS</t>
  </si>
  <si>
    <t>PERAK</t>
  </si>
  <si>
    <t>PULAU PINANG</t>
  </si>
  <si>
    <t>NORTHERN</t>
  </si>
  <si>
    <t>PK</t>
  </si>
  <si>
    <t>BG</t>
  </si>
  <si>
    <t>IP</t>
  </si>
  <si>
    <t>TH</t>
  </si>
  <si>
    <t>TSK</t>
  </si>
  <si>
    <t>TIN</t>
  </si>
  <si>
    <t>KK</t>
  </si>
  <si>
    <t>PB</t>
  </si>
  <si>
    <t>SW</t>
  </si>
  <si>
    <t>TP</t>
  </si>
  <si>
    <t>AIM</t>
  </si>
  <si>
    <t>BYB</t>
  </si>
  <si>
    <t>PG</t>
  </si>
  <si>
    <t>BM</t>
  </si>
  <si>
    <t>BW</t>
  </si>
  <si>
    <t>SJA</t>
  </si>
  <si>
    <t>MENGIKUT ZONE MASING - MASING</t>
  </si>
  <si>
    <t>Join</t>
  </si>
  <si>
    <t>Order Drop Rate (Order to be activated) – %</t>
  </si>
  <si>
    <r>
      <t xml:space="preserve">% Cancellation related to Technical (Wrong Address + Infra) </t>
    </r>
    <r>
      <rPr>
        <b/>
        <sz val="10"/>
        <color rgb="FF000000"/>
        <rFont val="Calibri"/>
        <family val="2"/>
        <scheme val="minor"/>
      </rPr>
      <t>(ODR_Tech)</t>
    </r>
  </si>
  <si>
    <t>-</t>
  </si>
  <si>
    <t/>
  </si>
  <si>
    <r>
      <t xml:space="preserve">% Return Order - Customer </t>
    </r>
    <r>
      <rPr>
        <b/>
        <sz val="10"/>
        <color rgb="FF000000"/>
        <rFont val="Calibri"/>
        <family val="2"/>
        <scheme val="minor"/>
      </rPr>
      <t>(ROC)</t>
    </r>
  </si>
  <si>
    <r>
      <t>% Cycle Time To Slot</t>
    </r>
    <r>
      <rPr>
        <b/>
        <sz val="10"/>
        <color rgb="FF000000"/>
        <rFont val="Calibri"/>
        <family val="2"/>
        <scheme val="minor"/>
      </rPr>
      <t xml:space="preserve"> (CTS)</t>
    </r>
  </si>
  <si>
    <t>Use</t>
  </si>
  <si>
    <t>Technical request/customer – Ratio</t>
  </si>
  <si>
    <r>
      <t xml:space="preserve">Service Fault Rate </t>
    </r>
    <r>
      <rPr>
        <b/>
        <sz val="10"/>
        <color rgb="FF000000"/>
        <rFont val="Calibri"/>
        <family val="2"/>
        <scheme val="minor"/>
      </rPr>
      <t>(SFR)</t>
    </r>
    <r>
      <rPr>
        <sz val="10"/>
        <color rgb="FF000000"/>
        <rFont val="Calibri"/>
        <family val="2"/>
        <scheme val="minor"/>
      </rPr>
      <t xml:space="preserve"> - Blended (Unifi, Pre-Unifi, DEL)</t>
    </r>
  </si>
  <si>
    <r>
      <t xml:space="preserve">Service Fault Rate UNIFI </t>
    </r>
    <r>
      <rPr>
        <b/>
        <sz val="10"/>
        <color rgb="FF000000"/>
        <rFont val="Calibri"/>
        <family val="2"/>
        <scheme val="minor"/>
      </rPr>
      <t>(SFRU)</t>
    </r>
  </si>
  <si>
    <r>
      <t xml:space="preserve">Network Fault Rate </t>
    </r>
    <r>
      <rPr>
        <b/>
        <sz val="10"/>
        <color rgb="FF000000"/>
        <rFont val="Calibri"/>
        <family val="2"/>
        <scheme val="minor"/>
      </rPr>
      <t>(NFR)</t>
    </r>
  </si>
  <si>
    <r>
      <t xml:space="preserve">Network Fault Rate UNIFI </t>
    </r>
    <r>
      <rPr>
        <b/>
        <sz val="10"/>
        <color rgb="FF000000"/>
        <rFont val="Calibri"/>
        <family val="2"/>
        <scheme val="minor"/>
      </rPr>
      <t>(NFRU)</t>
    </r>
  </si>
  <si>
    <t xml:space="preserve">% MCAT 15 Minutes + Slotting Appointment </t>
  </si>
  <si>
    <t>Restoration time – hours</t>
  </si>
  <si>
    <r>
      <t xml:space="preserve">% MCAT 15 Minutes + Slotting Appointment </t>
    </r>
    <r>
      <rPr>
        <b/>
        <sz val="10"/>
        <color rgb="FF000000"/>
        <rFont val="Calibri"/>
        <family val="2"/>
        <scheme val="minor"/>
      </rPr>
      <t>(MCATr R3)</t>
    </r>
  </si>
  <si>
    <r>
      <t xml:space="preserve">% Overall Service Restoration 24hrs </t>
    </r>
    <r>
      <rPr>
        <b/>
        <sz val="10"/>
        <color rgb="FF000000"/>
        <rFont val="Calibri"/>
        <family val="2"/>
        <scheme val="minor"/>
      </rPr>
      <t>(OSR24)</t>
    </r>
  </si>
  <si>
    <r>
      <t xml:space="preserve">% Service Restoration within 24hrs </t>
    </r>
    <r>
      <rPr>
        <b/>
        <sz val="10"/>
        <color rgb="FF000000"/>
        <rFont val="Calibri"/>
        <family val="2"/>
        <scheme val="minor"/>
      </rPr>
      <t>(SR24 R3) -Blended</t>
    </r>
  </si>
  <si>
    <r>
      <t xml:space="preserve">% Network Restoration within 24hrs </t>
    </r>
    <r>
      <rPr>
        <b/>
        <sz val="10"/>
        <color rgb="FF000000"/>
        <rFont val="Calibri"/>
        <family val="2"/>
        <scheme val="minor"/>
      </rPr>
      <t>(NR24) -Blended</t>
    </r>
  </si>
  <si>
    <r>
      <t xml:space="preserve">First Fix Right </t>
    </r>
    <r>
      <rPr>
        <b/>
        <sz val="10"/>
        <color rgb="FF000000"/>
        <rFont val="Calibri"/>
        <family val="2"/>
        <scheme val="minor"/>
      </rPr>
      <t>(FFRU)</t>
    </r>
    <r>
      <rPr>
        <sz val="10"/>
        <color rgb="FF000000"/>
        <rFont val="Calibri"/>
        <family val="2"/>
        <scheme val="minor"/>
      </rPr>
      <t xml:space="preserve"> %</t>
    </r>
  </si>
  <si>
    <t>NPS</t>
  </si>
  <si>
    <t>Network 
Restoration</t>
  </si>
  <si>
    <r>
      <t xml:space="preserve">Fiber SA + NSA With 8Hrs </t>
    </r>
    <r>
      <rPr>
        <b/>
        <sz val="10"/>
        <color rgb="FFFF0000"/>
        <rFont val="Calibri"/>
        <family val="2"/>
        <scheme val="minor"/>
      </rPr>
      <t>- week13</t>
    </r>
  </si>
  <si>
    <r>
      <t xml:space="preserve">Access 12 Hrs - </t>
    </r>
    <r>
      <rPr>
        <b/>
        <sz val="10"/>
        <color rgb="FFFF0000"/>
        <rFont val="Calibri"/>
        <family val="2"/>
        <scheme val="minor"/>
      </rPr>
      <t>week13</t>
    </r>
  </si>
  <si>
    <r>
      <t xml:space="preserve">PRI ACCESS : Restoration in 4 Hrs (3rd Party) - </t>
    </r>
    <r>
      <rPr>
        <b/>
        <sz val="10"/>
        <color rgb="FFFF0000"/>
        <rFont val="Calibri"/>
        <family val="2"/>
        <scheme val="minor"/>
      </rPr>
      <t>week13</t>
    </r>
  </si>
  <si>
    <r>
      <t xml:space="preserve">PRI ACCESS : Restoration in 12 Hrs (TM Power,3rd Party) - </t>
    </r>
    <r>
      <rPr>
        <b/>
        <sz val="10"/>
        <color rgb="FFFF0000"/>
        <rFont val="Calibri"/>
        <family val="2"/>
        <scheme val="minor"/>
      </rPr>
      <t>week13</t>
    </r>
  </si>
  <si>
    <t>ENZ</t>
  </si>
  <si>
    <t xml:space="preserve">WK 35 ending  27 Aug 2022 - KPI METRICS SUMMARY </t>
  </si>
  <si>
    <t>PP</t>
  </si>
  <si>
    <t>Network Fault Rate</t>
  </si>
  <si>
    <r>
      <t xml:space="preserve">% Service Restoration within 24hrs </t>
    </r>
    <r>
      <rPr>
        <b/>
        <sz val="10"/>
        <color rgb="FF000000"/>
        <rFont val="Calibri"/>
        <family val="2"/>
        <scheme val="minor"/>
      </rPr>
      <t>(SR24 R3)</t>
    </r>
  </si>
  <si>
    <r>
      <t xml:space="preserve">% Network Restoration within 24hrs </t>
    </r>
    <r>
      <rPr>
        <b/>
        <sz val="10"/>
        <color rgb="FF000000"/>
        <rFont val="Calibri"/>
        <family val="2"/>
        <scheme val="minor"/>
      </rPr>
      <t>(NR24)</t>
    </r>
  </si>
  <si>
    <r>
      <t xml:space="preserve">Fiber SA + NSA With 8Hrs </t>
    </r>
    <r>
      <rPr>
        <b/>
        <sz val="10"/>
        <color rgb="FFFF0000"/>
        <rFont val="Calibri"/>
        <family val="2"/>
        <scheme val="minor"/>
      </rPr>
      <t>- week34</t>
    </r>
  </si>
  <si>
    <r>
      <t xml:space="preserve">Access 12 Hrs - </t>
    </r>
    <r>
      <rPr>
        <b/>
        <sz val="10"/>
        <color rgb="FFFF0000"/>
        <rFont val="Calibri"/>
        <family val="2"/>
        <scheme val="minor"/>
      </rPr>
      <t>week34</t>
    </r>
  </si>
  <si>
    <r>
      <t xml:space="preserve">PRI ACCESS : Restoration in 4 Hrs (3rd Party) - </t>
    </r>
    <r>
      <rPr>
        <b/>
        <sz val="10"/>
        <color rgb="FFFF0000"/>
        <rFont val="Calibri"/>
        <family val="2"/>
        <scheme val="minor"/>
      </rPr>
      <t>week34</t>
    </r>
  </si>
  <si>
    <r>
      <t xml:space="preserve">PRI ACCESS : Restoration in 12 Hrs (TM Power,3rd Party) - </t>
    </r>
    <r>
      <rPr>
        <b/>
        <sz val="10"/>
        <color rgb="FFFF0000"/>
        <rFont val="Calibri"/>
        <family val="2"/>
        <scheme val="minor"/>
      </rPr>
      <t>week34</t>
    </r>
  </si>
  <si>
    <t xml:space="preserve">WK 23 ending 5 Jun  2021 - KPI METRICS SUMMARY </t>
  </si>
  <si>
    <t>WILAYAH</t>
  </si>
  <si>
    <t>PERAK SELATAN</t>
  </si>
  <si>
    <t>PERAK UTARA</t>
  </si>
  <si>
    <t>PENANG</t>
  </si>
  <si>
    <t>SEBERANG PRAI</t>
  </si>
  <si>
    <t>PRK S</t>
  </si>
  <si>
    <t>PRK U</t>
  </si>
  <si>
    <t>S PRAI</t>
  </si>
  <si>
    <r>
      <t xml:space="preserve">% Cancellation related to Technical (Wrong Address + Infra) </t>
    </r>
    <r>
      <rPr>
        <b/>
        <sz val="10"/>
        <color rgb="FF000000"/>
        <rFont val="Calibri"/>
        <family val="2"/>
      </rPr>
      <t>(ODR_Tech)</t>
    </r>
  </si>
  <si>
    <t>Provisioning Time – day</t>
  </si>
  <si>
    <t>Mean Time to Install (MTTI) (days)</t>
  </si>
  <si>
    <r>
      <t xml:space="preserve">% Cycle Time to Install within 4 days </t>
    </r>
    <r>
      <rPr>
        <b/>
        <sz val="10"/>
        <color rgb="FF000000"/>
        <rFont val="Calibri"/>
        <family val="2"/>
      </rPr>
      <t>(CTI)</t>
    </r>
  </si>
  <si>
    <r>
      <t>% Meeting Customer Appointment - Installation</t>
    </r>
    <r>
      <rPr>
        <b/>
        <sz val="10"/>
        <color rgb="FFFF0000"/>
        <rFont val="Calibri"/>
        <family val="2"/>
      </rPr>
      <t xml:space="preserve"> (MCATi)</t>
    </r>
  </si>
  <si>
    <r>
      <t xml:space="preserve">Mean Time to Slot - Installation </t>
    </r>
    <r>
      <rPr>
        <b/>
        <sz val="10"/>
        <color rgb="FFFF0000"/>
        <rFont val="Calibri"/>
        <family val="2"/>
      </rPr>
      <t xml:space="preserve">(MTTSi) </t>
    </r>
    <r>
      <rPr>
        <sz val="10"/>
        <color rgb="FFFF0000"/>
        <rFont val="Calibri"/>
        <family val="2"/>
      </rPr>
      <t>(days)</t>
    </r>
  </si>
  <si>
    <r>
      <t xml:space="preserve">% Return Order - Technical </t>
    </r>
    <r>
      <rPr>
        <b/>
        <sz val="10"/>
        <color rgb="FF000000"/>
        <rFont val="Calibri"/>
        <family val="2"/>
      </rPr>
      <t>(ROT)</t>
    </r>
  </si>
  <si>
    <t xml:space="preserve">Provisioning Time </t>
  </si>
  <si>
    <r>
      <t xml:space="preserve">% Cycle Time in Return Order 3 days </t>
    </r>
    <r>
      <rPr>
        <b/>
        <sz val="10"/>
        <color rgb="FF000000"/>
        <rFont val="Calibri"/>
        <family val="2"/>
      </rPr>
      <t>(CTIR)</t>
    </r>
  </si>
  <si>
    <r>
      <t xml:space="preserve">Service Fault Rate </t>
    </r>
    <r>
      <rPr>
        <b/>
        <sz val="10"/>
        <color rgb="FF000000"/>
        <rFont val="Calibri"/>
        <family val="2"/>
      </rPr>
      <t>(SFR)</t>
    </r>
    <r>
      <rPr>
        <sz val="10"/>
        <color rgb="FF000000"/>
        <rFont val="Calibri"/>
        <family val="2"/>
      </rPr>
      <t xml:space="preserve"> - Blended (Unifi, Pre-Unifi, DEL)</t>
    </r>
  </si>
  <si>
    <r>
      <t xml:space="preserve">Network Fault Rate (Active) </t>
    </r>
    <r>
      <rPr>
        <b/>
        <sz val="10"/>
        <color rgb="FF000000"/>
        <rFont val="Calibri"/>
        <family val="2"/>
      </rPr>
      <t>(NFRA)</t>
    </r>
  </si>
  <si>
    <r>
      <t xml:space="preserve">Network Fault Rate (Passive) - </t>
    </r>
    <r>
      <rPr>
        <b/>
        <sz val="10"/>
        <color rgb="FF000000"/>
        <rFont val="Calibri"/>
        <family val="2"/>
      </rPr>
      <t>(NFRP)</t>
    </r>
  </si>
  <si>
    <t>% Proactive NTT Creation within 1 hour - Passive Fiber</t>
  </si>
  <si>
    <t>% Proactive NTT Creation within 1 hour - Passive Copper</t>
  </si>
  <si>
    <t>% Proactive NTT Creation within 1 hour - Passive Active</t>
  </si>
  <si>
    <t>% MCAT 15 Minutes + Slotting Appointment (MCATr)</t>
  </si>
  <si>
    <r>
      <t xml:space="preserve">% Service Restoration 2hrs after Appointment </t>
    </r>
    <r>
      <rPr>
        <b/>
        <sz val="10"/>
        <color rgb="FF000000"/>
        <rFont val="Calibri"/>
        <family val="2"/>
      </rPr>
      <t>(SR2A)</t>
    </r>
  </si>
  <si>
    <r>
      <t xml:space="preserve">% Overall Service Restoration 24hrs </t>
    </r>
    <r>
      <rPr>
        <b/>
        <sz val="10"/>
        <color rgb="FF000000"/>
        <rFont val="Calibri"/>
        <family val="2"/>
      </rPr>
      <t>(OSR24)</t>
    </r>
  </si>
  <si>
    <r>
      <t xml:space="preserve">% Service Restoration within 24hrs </t>
    </r>
    <r>
      <rPr>
        <b/>
        <sz val="10"/>
        <color rgb="FF000000"/>
        <rFont val="Calibri"/>
        <family val="2"/>
      </rPr>
      <t>(SR24)</t>
    </r>
  </si>
  <si>
    <r>
      <t xml:space="preserve">% Network Restoration within 24hrs </t>
    </r>
    <r>
      <rPr>
        <b/>
        <sz val="10"/>
        <color rgb="FF000000"/>
        <rFont val="Calibri"/>
        <family val="2"/>
      </rPr>
      <t>(NR24)</t>
    </r>
  </si>
  <si>
    <r>
      <t xml:space="preserve">% Cycle Time to Slot 24hrs - Restoration </t>
    </r>
    <r>
      <rPr>
        <b/>
        <sz val="10"/>
        <color rgb="FFFF0000"/>
        <rFont val="Calibri"/>
        <family val="2"/>
      </rPr>
      <t>(MTTSr)</t>
    </r>
    <r>
      <rPr>
        <sz val="10"/>
        <color rgb="FFFF0000"/>
        <rFont val="Calibri"/>
        <family val="2"/>
      </rPr>
      <t xml:space="preserve"> - need time to restore</t>
    </r>
  </si>
  <si>
    <t>Combined</t>
  </si>
  <si>
    <t>Right First Time – %</t>
  </si>
  <si>
    <r>
      <t xml:space="preserve">First Provisiong Right </t>
    </r>
    <r>
      <rPr>
        <b/>
        <sz val="10"/>
        <color rgb="FFFF0000"/>
        <rFont val="Calibri"/>
        <family val="2"/>
      </rPr>
      <t>(FPR)</t>
    </r>
    <r>
      <rPr>
        <sz val="10"/>
        <color rgb="FFFF0000"/>
        <rFont val="Calibri"/>
        <family val="2"/>
      </rPr>
      <t xml:space="preserve"> %</t>
    </r>
  </si>
  <si>
    <r>
      <t xml:space="preserve">First Fix Right </t>
    </r>
    <r>
      <rPr>
        <b/>
        <sz val="10"/>
        <color rgb="FF000000"/>
        <rFont val="Calibri"/>
        <family val="2"/>
      </rPr>
      <t>(FFR)</t>
    </r>
    <r>
      <rPr>
        <sz val="10"/>
        <color rgb="FF000000"/>
        <rFont val="Calibri"/>
        <family val="2"/>
      </rPr>
      <t xml:space="preserve"> %</t>
    </r>
  </si>
  <si>
    <t>Complaint/1000 customer – Index</t>
  </si>
  <si>
    <r>
      <t xml:space="preserve">Fulfilment Complaint Index </t>
    </r>
    <r>
      <rPr>
        <b/>
        <sz val="10"/>
        <color rgb="FF000000"/>
        <rFont val="Calibri"/>
        <family val="2"/>
      </rPr>
      <t>(FCI)</t>
    </r>
  </si>
  <si>
    <r>
      <t xml:space="preserve">Technical Complaint Index </t>
    </r>
    <r>
      <rPr>
        <b/>
        <sz val="10"/>
        <color rgb="FF000000"/>
        <rFont val="Calibri"/>
        <family val="2"/>
      </rPr>
      <t>(TCI)</t>
    </r>
  </si>
  <si>
    <r>
      <t xml:space="preserve">% Number of Complaint Resolved within 5 days (Technical and Fulfilment) </t>
    </r>
    <r>
      <rPr>
        <b/>
        <sz val="10"/>
        <color rgb="FF000000"/>
        <rFont val="Calibri"/>
        <family val="2"/>
      </rPr>
      <t>(CR)</t>
    </r>
  </si>
  <si>
    <t xml:space="preserve">%TNPSO </t>
  </si>
  <si>
    <t xml:space="preserve">%TNPSF </t>
  </si>
  <si>
    <t>MSQOS</t>
  </si>
  <si>
    <t xml:space="preserve">Fulfillment PSTN within 24 HRS </t>
  </si>
  <si>
    <t xml:space="preserve">Fulfillment PSTN within 48 HRS </t>
  </si>
  <si>
    <t>Fulfillment PSTN within 7D</t>
  </si>
  <si>
    <t xml:space="preserve">Fulfillment BB within 24 HRS </t>
  </si>
  <si>
    <t xml:space="preserve">Fulfillment BB within 72 HRS </t>
  </si>
  <si>
    <t xml:space="preserve">Fulfillment UNIFI within 24 HRS  </t>
  </si>
  <si>
    <t xml:space="preserve">Fulfillment UNIFI within 72 HRS </t>
  </si>
  <si>
    <t xml:space="preserve">Assurance PSTN within 24 HRS  </t>
  </si>
  <si>
    <t xml:space="preserve">Assurance PSTN within 48 HRS </t>
  </si>
  <si>
    <t xml:space="preserve">Assurance BB within 24 HRS  </t>
  </si>
  <si>
    <t>Assurance BB within 48 HRS</t>
  </si>
  <si>
    <t xml:space="preserve">Assurance UNIFI within 24 HRS </t>
  </si>
  <si>
    <t xml:space="preserve">Assurance UNIFI within 48 HRS  </t>
  </si>
  <si>
    <t xml:space="preserve">WK 22 ending 29 May 2021 - KPI METRICS SUMMARY </t>
  </si>
  <si>
    <r>
      <t xml:space="preserve">% Meeting Customer Appointment - Restoration </t>
    </r>
    <r>
      <rPr>
        <b/>
        <sz val="10"/>
        <color rgb="FF000000"/>
        <rFont val="Calibri"/>
        <family val="2"/>
      </rPr>
      <t>(MCATr)</t>
    </r>
  </si>
  <si>
    <r>
      <t xml:space="preserve">Fiber SA + NSA With 8Hrs </t>
    </r>
    <r>
      <rPr>
        <b/>
        <sz val="10"/>
        <color rgb="FFFF0000"/>
        <rFont val="Calibri"/>
        <family val="2"/>
        <scheme val="minor"/>
      </rPr>
      <t>- week33</t>
    </r>
  </si>
  <si>
    <r>
      <t xml:space="preserve">Access 12 Hrs - </t>
    </r>
    <r>
      <rPr>
        <b/>
        <sz val="10"/>
        <color rgb="FFFF0000"/>
        <rFont val="Calibri"/>
        <family val="2"/>
        <scheme val="minor"/>
      </rPr>
      <t>week33</t>
    </r>
  </si>
  <si>
    <r>
      <t xml:space="preserve">PRI ACCESS : Restoration in 4 Hrs (3rd Party) - </t>
    </r>
    <r>
      <rPr>
        <b/>
        <sz val="10"/>
        <color rgb="FFFF0000"/>
        <rFont val="Calibri"/>
        <family val="2"/>
        <scheme val="minor"/>
      </rPr>
      <t>week33</t>
    </r>
  </si>
  <si>
    <r>
      <t xml:space="preserve">PRI ACCESS : Restoration in 12 Hrs (TM Power,3rd Party) - </t>
    </r>
    <r>
      <rPr>
        <b/>
        <sz val="10"/>
        <color rgb="FFFF0000"/>
        <rFont val="Calibri"/>
        <family val="2"/>
        <scheme val="minor"/>
      </rPr>
      <t>week33</t>
    </r>
  </si>
  <si>
    <t>KEDAH &amp; PERLIS</t>
  </si>
  <si>
    <t>ZONE ALOR SETAR</t>
  </si>
  <si>
    <t>ZONE JITRA</t>
  </si>
  <si>
    <t>ZONE KULIM</t>
  </si>
  <si>
    <t>ZONE LANGKAWI</t>
  </si>
  <si>
    <t>ZONE PERLIS</t>
  </si>
  <si>
    <t>ZONE SG PETANI</t>
  </si>
  <si>
    <t>ZONE BATU GAJAH</t>
  </si>
  <si>
    <t>ZONE IPOH</t>
  </si>
  <si>
    <t>ZONE TAPAH</t>
  </si>
  <si>
    <t>ZONE TASEK</t>
  </si>
  <si>
    <t>ZONE TELUK INTAN</t>
  </si>
  <si>
    <t>ZONE KUALA KANGSAR</t>
  </si>
  <si>
    <t>ZONE PARIT BUNTAR</t>
  </si>
  <si>
    <t>ZONE SETIAWAN</t>
  </si>
  <si>
    <t>ZONE TAIPING</t>
  </si>
  <si>
    <t>ZONE AIR ITAM</t>
  </si>
  <si>
    <t>ZONE BAYAN BARU</t>
  </si>
  <si>
    <t>ZONE PENANG CENTRAL</t>
  </si>
  <si>
    <t>ZONE BUKIT MERTAJAM</t>
  </si>
  <si>
    <t>ZONE BUTTERWORTH</t>
  </si>
  <si>
    <t>ZONE SEBERANG JAYA</t>
  </si>
  <si>
    <t xml:space="preserve">WEEKLY PERFORMANCE </t>
  </si>
  <si>
    <t>NMO NORTHERN</t>
  </si>
  <si>
    <t xml:space="preserve">WK 17 ending 24 Apr 2021 - KPI METRICS SUMMARY </t>
  </si>
  <si>
    <t>CATEGORY</t>
  </si>
  <si>
    <t>SOURCE</t>
  </si>
  <si>
    <t>KPI</t>
  </si>
  <si>
    <t>BIL</t>
  </si>
  <si>
    <t>Measurement Definition/Formula</t>
  </si>
  <si>
    <t>wk 16</t>
  </si>
  <si>
    <t>BPQM</t>
  </si>
  <si>
    <t xml:space="preserve">Actual Installation completion date – Appointment Date </t>
  </si>
  <si>
    <t xml:space="preserve">Resolved Date- Appointment/ Created Date or Appt date </t>
  </si>
  <si>
    <t>Total</t>
  </si>
  <si>
    <t>FULFILLMENT</t>
  </si>
  <si>
    <t>Perform</t>
  </si>
  <si>
    <t>MTTS within 5 Days</t>
  </si>
  <si>
    <t>Total slotted appt days within 5 days from submission date</t>
  </si>
  <si>
    <t>5D</t>
  </si>
  <si>
    <t>% Return Order due to Technical Overall</t>
  </si>
  <si>
    <t>Total count of return order due to Technical over total scheduled orders</t>
  </si>
  <si>
    <t>&lt;4%</t>
  </si>
  <si>
    <t>MTIR within 3 Days Technical</t>
  </si>
  <si>
    <t>Average order completed date -  return date (days)</t>
  </si>
  <si>
    <t>3 Days</t>
  </si>
  <si>
    <t>PMR</t>
  </si>
  <si>
    <t>MCAT Fulfillment (Arrival within promised appointment )</t>
  </si>
  <si>
    <t xml:space="preserve">(zero no show/missed appointment)
100% - Total Complaint on Missed Appt (No Show and not on time) over Total Scheduled Orders
</t>
  </si>
  <si>
    <t>Installation Success Rate</t>
  </si>
  <si>
    <t>Total Installations Completed over Scheduled Orders</t>
  </si>
  <si>
    <t>Q4 : 90%</t>
  </si>
  <si>
    <t>ASSURANCE</t>
  </si>
  <si>
    <t>MCAT Assurance</t>
  </si>
  <si>
    <t>% of pass/ Total CTT
*Pass= IP within same session with Appt
Pass/ Fail based on
In Progress DONE in SWIFT by AM/ PM session
AM: 8.30am-12.30pm
PM: 12.31pm-6.30pm
Not more than 2 hrs after appt</t>
  </si>
  <si>
    <t>Q4 : 99%</t>
  </si>
  <si>
    <t>First Fix Right (30 days) (Exclude repeated due to customer &amp; NTT)</t>
  </si>
  <si>
    <t>% CTT resolved at first attempt  with no repeated tickets for the next 30 days 
1- [(RR TT-RR due to Cust)/ (Total TT- RR due to Cust)]
*RR TT= within 30 days</t>
  </si>
  <si>
    <t>Service Restoration in 24 hours*</t>
  </si>
  <si>
    <t>% CTT resolved within 24 hours/ Total CTT</t>
  </si>
  <si>
    <t>Q4 : 70%</t>
  </si>
  <si>
    <t>Service Restoration in 24 hours- Single Fault*</t>
  </si>
  <si>
    <t>% CTT resolved within 24 hours (Single Fault)/ Total CTT
*TT without NTT</t>
  </si>
  <si>
    <t>Q4 : 80%</t>
  </si>
  <si>
    <t>Network Restore (Network Outage) within 24 hours*</t>
  </si>
  <si>
    <t>% CTT resolved within 24 hours (CTT NTT)/ Total CTT
*TT with NTT</t>
  </si>
  <si>
    <t>Assurance Complaint Rate</t>
  </si>
  <si>
    <t>CTT with SR complaint/ Total CTT
*SR complaint:
All SR category except UNIFI Elite &amp; Long Restoration within Promise</t>
  </si>
  <si>
    <t>&lt; 5%</t>
  </si>
  <si>
    <t>Assurance Complaint Rate (Long restoration (Beyond Promise)</t>
  </si>
  <si>
    <t>CTT with SR category Long Restoration beyond Promise/ Total CTT</t>
  </si>
  <si>
    <t>Assurance VOC Detractor No Show</t>
  </si>
  <si>
    <t>Volume of VOC Detractor No Show/ Miss Appointment</t>
  </si>
  <si>
    <t>Cycle Time to Restore within 2 hrs After Appt - Exclude NTT</t>
  </si>
  <si>
    <t>CTT resolved within 2 hours from appt time/ Total Appt CTT</t>
  </si>
  <si>
    <t>Cycle Time restored within first agreed Appt - Exclude NTT</t>
  </si>
  <si>
    <t>% CTT restored within 1st appt/ Total appt CTT</t>
  </si>
  <si>
    <t>Meeting First ETTR*</t>
  </si>
  <si>
    <t>% meeting ETTR/ number of NTT</t>
  </si>
  <si>
    <t>NMO eXa</t>
  </si>
  <si>
    <t>Cycle Time to Restore CTT Data (LL) Fiber Related within 8 Hours</t>
  </si>
  <si>
    <t>% restoration within 8 hours/ Total NTT</t>
  </si>
  <si>
    <t xml:space="preserve">Cycle Time to Restore NTT Fiber Related within 8 Hours </t>
  </si>
  <si>
    <t>SWIFT</t>
  </si>
  <si>
    <r>
      <t xml:space="preserve">SWIFT Online Availability  </t>
    </r>
    <r>
      <rPr>
        <b/>
        <sz val="10"/>
        <color rgb="FFFF0000"/>
        <rFont val="Calibri"/>
        <family val="2"/>
        <scheme val="minor"/>
      </rPr>
      <t>(MCO)</t>
    </r>
  </si>
  <si>
    <t>ROT</t>
  </si>
  <si>
    <t xml:space="preserve">NPS OVERALL </t>
  </si>
  <si>
    <t>NPS Fulfillment - KP 80%, PK 79%, PP 80%, Northern 73%</t>
  </si>
  <si>
    <t>NPS Assurance - KP 70%, PK 69%, PP 69%, Northern 73%</t>
  </si>
  <si>
    <t>Overall</t>
  </si>
  <si>
    <t>`</t>
  </si>
  <si>
    <t>FAULT RATE OP</t>
  </si>
  <si>
    <t>T 2020</t>
  </si>
  <si>
    <t>▲</t>
  </si>
  <si>
    <t>▼</t>
  </si>
  <si>
    <t>↑</t>
  </si>
  <si>
    <t>↓</t>
  </si>
  <si>
    <t>=</t>
  </si>
  <si>
    <t>˅</t>
  </si>
  <si>
    <t>˄</t>
  </si>
  <si>
    <t>MCATi</t>
  </si>
  <si>
    <t>MCATi NO SHOW</t>
  </si>
  <si>
    <t>ISR</t>
  </si>
  <si>
    <t>MCATr NO SHOW</t>
  </si>
  <si>
    <t>MCATr OVERALL</t>
  </si>
  <si>
    <t>SRU24</t>
  </si>
  <si>
    <t>CTIR</t>
  </si>
  <si>
    <t>NRU24</t>
  </si>
  <si>
    <t>ALOR SETAR</t>
  </si>
  <si>
    <t>JITRA</t>
  </si>
  <si>
    <t>KULIM</t>
  </si>
  <si>
    <t>LANGKAWI</t>
  </si>
  <si>
    <t>PERLIS</t>
  </si>
  <si>
    <t>SUNGAI PETANI</t>
  </si>
  <si>
    <r>
      <t xml:space="preserve">CTI
</t>
    </r>
    <r>
      <rPr>
        <b/>
        <sz val="10"/>
        <color theme="0"/>
        <rFont val="Calibri"/>
        <family val="2"/>
        <scheme val="minor"/>
      </rPr>
      <t>TRACKING</t>
    </r>
  </si>
  <si>
    <r>
      <t xml:space="preserve">CTS
</t>
    </r>
    <r>
      <rPr>
        <b/>
        <sz val="10"/>
        <color theme="0"/>
        <rFont val="Calibri"/>
        <family val="2"/>
        <scheme val="minor"/>
      </rPr>
      <t>TRACKING</t>
    </r>
  </si>
  <si>
    <r>
      <t xml:space="preserve">MCATi HSBA
</t>
    </r>
    <r>
      <rPr>
        <b/>
        <sz val="10"/>
        <color theme="0"/>
        <rFont val="Calibri"/>
        <family val="2"/>
        <scheme val="minor"/>
      </rPr>
      <t>TRACKING</t>
    </r>
  </si>
  <si>
    <r>
      <t xml:space="preserve">ROT
</t>
    </r>
    <r>
      <rPr>
        <b/>
        <sz val="10"/>
        <color theme="0"/>
        <rFont val="Calibri"/>
        <family val="2"/>
        <scheme val="minor"/>
      </rPr>
      <t>TRACKING</t>
    </r>
  </si>
  <si>
    <r>
      <t xml:space="preserve">CANCEL CTT
</t>
    </r>
    <r>
      <rPr>
        <b/>
        <sz val="10"/>
        <color theme="0"/>
        <rFont val="Calibri"/>
        <family val="2"/>
        <scheme val="minor"/>
      </rPr>
      <t>TRACKING</t>
    </r>
  </si>
  <si>
    <r>
      <t xml:space="preserve">SRGU24
</t>
    </r>
    <r>
      <rPr>
        <b/>
        <sz val="10"/>
        <color rgb="FFFF0000"/>
        <rFont val="Calibri"/>
        <family val="2"/>
        <scheme val="minor"/>
      </rPr>
      <t>(KPI CFF&amp;NFF)</t>
    </r>
  </si>
  <si>
    <t>STATE/WEEK NO :</t>
  </si>
  <si>
    <r>
      <t xml:space="preserve">CARE SCORE TNPSF
</t>
    </r>
    <r>
      <rPr>
        <b/>
        <sz val="10"/>
        <color theme="0"/>
        <rFont val="Calibri"/>
        <family val="2"/>
        <scheme val="minor"/>
      </rPr>
      <t>TRACKING</t>
    </r>
  </si>
  <si>
    <r>
      <t xml:space="preserve">TNPSF
</t>
    </r>
    <r>
      <rPr>
        <b/>
        <sz val="10"/>
        <color theme="0"/>
        <rFont val="Calibri"/>
        <family val="2"/>
        <scheme val="minor"/>
      </rPr>
      <t>TRACKING</t>
    </r>
  </si>
  <si>
    <t>ALOR SETAR &amp; JITRA</t>
  </si>
  <si>
    <t>SUNGAI PETANI &amp; KULIM</t>
  </si>
  <si>
    <t>Fiber SA + NSA With 8Hrs</t>
  </si>
  <si>
    <t>Access 12 Hrs</t>
  </si>
  <si>
    <t>PRI ACCESS -12 Hrs</t>
  </si>
  <si>
    <t>ENB SA</t>
  </si>
  <si>
    <t>POWER NSA</t>
  </si>
  <si>
    <t>FOC SA</t>
  </si>
  <si>
    <t>VANDALISM</t>
  </si>
  <si>
    <t>OTHER NSA</t>
  </si>
  <si>
    <t>NPSA</t>
  </si>
  <si>
    <t>PROD_NFF</t>
  </si>
  <si>
    <t>LTE - with exclusion</t>
  </si>
  <si>
    <t>FFRU90</t>
  </si>
  <si>
    <t>CTIR CAPEX</t>
  </si>
  <si>
    <t>MCAT</t>
  </si>
  <si>
    <t>SR 3.5Hours</t>
  </si>
  <si>
    <t>SR 18Hours</t>
  </si>
  <si>
    <t>SR 72Hours</t>
  </si>
  <si>
    <t>MT 3DAYS</t>
  </si>
  <si>
    <t>MT Success Rate</t>
  </si>
  <si>
    <t>PROD_DDZ</t>
  </si>
  <si>
    <t>FPR
90 Days</t>
  </si>
  <si>
    <t>FFR
90 Days</t>
  </si>
  <si>
    <t>TARGET H2</t>
  </si>
  <si>
    <t>NPSF</t>
  </si>
  <si>
    <t>NFR UNIFI</t>
  </si>
  <si>
    <t>SFR UNIFI</t>
  </si>
  <si>
    <r>
      <t xml:space="preserve">SR30 FAULT
</t>
    </r>
    <r>
      <rPr>
        <b/>
        <sz val="10"/>
        <color rgb="FFFF0000"/>
        <rFont val="Calibri"/>
        <family val="2"/>
        <scheme val="minor"/>
      </rPr>
      <t>WEEK39</t>
    </r>
  </si>
  <si>
    <t>WEEK43</t>
  </si>
  <si>
    <t>WEEK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</si>
</sst>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0.0%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0"/>
      <color indexed="8"/>
      <name val="Calibri"/>
      <family val="2"/>
    </font>
    <font>
      <b/>
      <sz val="10"/>
      <color rgb="FF000000"/>
      <name val="Calibri"/>
      <family val="2"/>
    </font>
    <font>
      <b/>
      <sz val="10"/>
      <color rgb="FF21252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E3E0E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12529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ptos Narrow"/>
      <family val="2"/>
    </font>
    <font>
      <b/>
      <sz val="10"/>
      <color rgb="FFFFFFFF"/>
      <name val="Aptos Narrow"/>
      <family val="2"/>
    </font>
    <font>
      <b/>
      <sz val="10"/>
      <name val="Aptos Narrow"/>
      <family val="2"/>
    </font>
    <font>
      <b/>
      <sz val="10"/>
      <color theme="0"/>
      <name val="Aptos Narrow"/>
      <family val="2"/>
    </font>
    <font>
      <b/>
      <sz val="10"/>
      <color rgb="FF212529"/>
      <name val="Aptos Narrow"/>
      <family val="2"/>
    </font>
    <font>
      <b/>
      <sz val="10"/>
      <color theme="1"/>
      <name val="Aptos Narrow"/>
      <family val="2"/>
    </font>
    <font>
      <sz val="10"/>
      <color theme="0"/>
      <name val="Aptos Narrow"/>
      <family val="2"/>
    </font>
    <font>
      <sz val="10"/>
      <color rgb="FFFFFFFF"/>
      <name val="Aptos Narrow"/>
      <family val="2"/>
    </font>
    <font>
      <sz val="10"/>
      <name val="Aptos Narrow"/>
      <family val="2"/>
    </font>
    <font>
      <sz val="10"/>
      <color theme="1"/>
      <name val="Aptos Narrow"/>
      <family val="2"/>
    </font>
  </fonts>
  <fills count="4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EF12D"/>
        <bgColor indexed="64"/>
      </patternFill>
    </fill>
    <fill>
      <patternFill patternType="solid">
        <fgColor rgb="FFFF2A24"/>
        <bgColor indexed="64"/>
      </patternFill>
    </fill>
    <fill>
      <patternFill patternType="solid">
        <fgColor rgb="FFE3E0E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CD7FE"/>
        <bgColor indexed="64"/>
      </patternFill>
    </fill>
    <fill>
      <patternFill patternType="solid">
        <fgColor rgb="FF5DF509"/>
        <bgColor indexed="64"/>
      </patternFill>
    </fill>
    <fill>
      <patternFill patternType="solid">
        <fgColor rgb="FF3CEE12"/>
        <bgColor indexed="64"/>
      </patternFill>
    </fill>
    <fill>
      <patternFill patternType="solid">
        <fgColor rgb="FFFF292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CD7F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rgb="FFFFFFFF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0" fontId="39" fillId="0" borderId="0"/>
  </cellStyleXfs>
  <cellXfs count="397">
    <xf numFmtId="0" fontId="0" fillId="0" borderId="0" xfId="0"/>
    <xf numFmtId="0" fontId="2" fillId="4" borderId="11" xfId="0" applyFont="1" applyFill="1" applyBorder="1" applyAlignment="1">
      <alignment horizontal="center"/>
    </xf>
    <xf numFmtId="166" fontId="2" fillId="4" borderId="11" xfId="2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left"/>
    </xf>
    <xf numFmtId="166" fontId="2" fillId="0" borderId="11" xfId="2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166" fontId="0" fillId="0" borderId="0" xfId="2" applyNumberFormat="1" applyFont="1" applyAlignment="1">
      <alignment horizontal="center"/>
    </xf>
    <xf numFmtId="0" fontId="2" fillId="0" borderId="0" xfId="0" applyFont="1"/>
    <xf numFmtId="166" fontId="2" fillId="0" borderId="0" xfId="2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/>
    <xf numFmtId="1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165" fontId="6" fillId="0" borderId="3" xfId="0" quotePrefix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9" fontId="6" fillId="0" borderId="3" xfId="2" applyFont="1" applyFill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/>
    </xf>
    <xf numFmtId="166" fontId="6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9" fontId="9" fillId="0" borderId="3" xfId="0" applyNumberFormat="1" applyFont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6" fillId="0" borderId="3" xfId="2" applyNumberFormat="1" applyFont="1" applyBorder="1" applyAlignment="1">
      <alignment horizontal="center"/>
    </xf>
    <xf numFmtId="0" fontId="6" fillId="0" borderId="3" xfId="2" quotePrefix="1" applyNumberFormat="1" applyFont="1" applyBorder="1" applyAlignment="1">
      <alignment horizontal="center"/>
    </xf>
    <xf numFmtId="9" fontId="11" fillId="0" borderId="3" xfId="2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6" fontId="6" fillId="0" borderId="3" xfId="0" quotePrefix="1" applyNumberFormat="1" applyFont="1" applyBorder="1" applyAlignment="1">
      <alignment horizontal="center"/>
    </xf>
    <xf numFmtId="166" fontId="6" fillId="0" borderId="3" xfId="1" quotePrefix="1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vertical="center"/>
    </xf>
    <xf numFmtId="166" fontId="11" fillId="0" borderId="3" xfId="2" applyNumberFormat="1" applyFont="1" applyBorder="1" applyAlignment="1">
      <alignment horizontal="center" vertical="center"/>
    </xf>
    <xf numFmtId="166" fontId="11" fillId="0" borderId="3" xfId="7" applyNumberFormat="1" applyFont="1" applyBorder="1" applyAlignment="1">
      <alignment horizontal="center" vertical="center"/>
    </xf>
    <xf numFmtId="166" fontId="15" fillId="0" borderId="3" xfId="6" applyNumberFormat="1" applyFont="1" applyBorder="1" applyAlignment="1">
      <alignment horizontal="center"/>
    </xf>
    <xf numFmtId="166" fontId="6" fillId="0" borderId="3" xfId="6" applyNumberFormat="1" applyFont="1" applyBorder="1" applyAlignment="1">
      <alignment horizontal="center"/>
    </xf>
    <xf numFmtId="166" fontId="6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0" borderId="0" xfId="0" quotePrefix="1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1" fillId="5" borderId="3" xfId="3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165" fontId="11" fillId="0" borderId="3" xfId="3" quotePrefix="1" applyNumberFormat="1" applyFont="1" applyBorder="1" applyAlignment="1">
      <alignment horizontal="center" vertical="center"/>
    </xf>
    <xf numFmtId="0" fontId="6" fillId="5" borderId="3" xfId="1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9" fontId="6" fillId="7" borderId="3" xfId="2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5" borderId="3" xfId="2" applyNumberFormat="1" applyFont="1" applyFill="1" applyBorder="1" applyAlignment="1">
      <alignment horizontal="center" vertical="center"/>
    </xf>
    <xf numFmtId="0" fontId="6" fillId="6" borderId="3" xfId="2" applyNumberFormat="1" applyFont="1" applyFill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17" fontId="9" fillId="0" borderId="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1" fillId="0" borderId="5" xfId="3" quotePrefix="1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/>
    </xf>
    <xf numFmtId="166" fontId="15" fillId="0" borderId="3" xfId="6" quotePrefix="1" applyNumberFormat="1" applyFont="1" applyBorder="1" applyAlignment="1">
      <alignment horizontal="center"/>
    </xf>
    <xf numFmtId="0" fontId="17" fillId="0" borderId="3" xfId="0" quotePrefix="1" applyFont="1" applyBorder="1" applyAlignment="1">
      <alignment horizontal="center"/>
    </xf>
    <xf numFmtId="165" fontId="6" fillId="0" borderId="5" xfId="0" quotePrefix="1" applyNumberFormat="1" applyFont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/>
    </xf>
    <xf numFmtId="10" fontId="11" fillId="0" borderId="7" xfId="3" applyNumberFormat="1" applyFont="1" applyBorder="1" applyAlignment="1">
      <alignment horizontal="center"/>
    </xf>
    <xf numFmtId="10" fontId="19" fillId="0" borderId="6" xfId="3" applyNumberFormat="1" applyFont="1" applyBorder="1" applyAlignment="1">
      <alignment horizontal="center"/>
    </xf>
    <xf numFmtId="10" fontId="19" fillId="0" borderId="7" xfId="3" applyNumberFormat="1" applyFont="1" applyBorder="1" applyAlignment="1">
      <alignment horizontal="center"/>
    </xf>
    <xf numFmtId="10" fontId="11" fillId="0" borderId="3" xfId="3" applyNumberFormat="1" applyFont="1" applyBorder="1" applyAlignment="1">
      <alignment horizontal="center"/>
    </xf>
    <xf numFmtId="10" fontId="11" fillId="0" borderId="5" xfId="3" applyNumberFormat="1" applyFont="1" applyBorder="1" applyAlignment="1">
      <alignment horizontal="center"/>
    </xf>
    <xf numFmtId="10" fontId="11" fillId="0" borderId="10" xfId="3" applyNumberFormat="1" applyFont="1" applyBorder="1" applyAlignment="1">
      <alignment horizontal="center"/>
    </xf>
    <xf numFmtId="9" fontId="6" fillId="2" borderId="3" xfId="2" applyFont="1" applyFill="1" applyBorder="1" applyAlignment="1">
      <alignment horizontal="center" vertical="center"/>
    </xf>
    <xf numFmtId="166" fontId="6" fillId="0" borderId="8" xfId="0" applyNumberFormat="1" applyFont="1" applyBorder="1" applyAlignment="1">
      <alignment horizontal="center"/>
    </xf>
    <xf numFmtId="0" fontId="17" fillId="0" borderId="3" xfId="3" applyNumberFormat="1" applyFont="1" applyFill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0" fontId="9" fillId="0" borderId="3" xfId="1" applyNumberFormat="1" applyFont="1" applyFill="1" applyBorder="1" applyAlignment="1">
      <alignment horizontal="center"/>
    </xf>
    <xf numFmtId="166" fontId="9" fillId="0" borderId="3" xfId="1" applyNumberFormat="1" applyFont="1" applyFill="1" applyBorder="1" applyAlignment="1">
      <alignment horizontal="center"/>
    </xf>
    <xf numFmtId="166" fontId="17" fillId="0" borderId="3" xfId="2" applyNumberFormat="1" applyFont="1" applyFill="1" applyBorder="1" applyAlignment="1">
      <alignment horizontal="center" vertical="center"/>
    </xf>
    <xf numFmtId="9" fontId="17" fillId="0" borderId="3" xfId="2" applyFont="1" applyFill="1" applyBorder="1" applyAlignment="1">
      <alignment horizontal="center" vertical="center"/>
    </xf>
    <xf numFmtId="166" fontId="17" fillId="0" borderId="3" xfId="7" applyNumberFormat="1" applyFont="1" applyFill="1" applyBorder="1" applyAlignment="1">
      <alignment horizontal="center" vertical="center"/>
    </xf>
    <xf numFmtId="166" fontId="9" fillId="0" borderId="3" xfId="1" quotePrefix="1" applyNumberFormat="1" applyFont="1" applyFill="1" applyBorder="1" applyAlignment="1">
      <alignment horizontal="center"/>
    </xf>
    <xf numFmtId="166" fontId="17" fillId="0" borderId="3" xfId="6" applyNumberFormat="1" applyFont="1" applyFill="1" applyBorder="1" applyAlignment="1">
      <alignment horizontal="center"/>
    </xf>
    <xf numFmtId="10" fontId="21" fillId="10" borderId="3" xfId="0" applyNumberFormat="1" applyFont="1" applyFill="1" applyBorder="1" applyAlignment="1">
      <alignment horizontal="center" vertical="top"/>
    </xf>
    <xf numFmtId="10" fontId="22" fillId="11" borderId="3" xfId="0" applyNumberFormat="1" applyFont="1" applyFill="1" applyBorder="1" applyAlignment="1">
      <alignment horizontal="center" vertical="top"/>
    </xf>
    <xf numFmtId="10" fontId="22" fillId="11" borderId="3" xfId="0" applyNumberFormat="1" applyFont="1" applyFill="1" applyBorder="1" applyAlignment="1">
      <alignment horizontal="center" vertical="center"/>
    </xf>
    <xf numFmtId="0" fontId="23" fillId="12" borderId="3" xfId="0" applyFont="1" applyFill="1" applyBorder="1" applyAlignment="1">
      <alignment vertical="top"/>
    </xf>
    <xf numFmtId="0" fontId="22" fillId="11" borderId="3" xfId="0" applyFont="1" applyFill="1" applyBorder="1" applyAlignment="1">
      <alignment horizontal="center" vertical="top"/>
    </xf>
    <xf numFmtId="0" fontId="21" fillId="10" borderId="3" xfId="0" applyFont="1" applyFill="1" applyBorder="1" applyAlignment="1">
      <alignment horizontal="center" vertical="top"/>
    </xf>
    <xf numFmtId="0" fontId="10" fillId="14" borderId="3" xfId="0" applyFont="1" applyFill="1" applyBorder="1" applyAlignment="1">
      <alignment vertical="center" wrapText="1"/>
    </xf>
    <xf numFmtId="9" fontId="6" fillId="14" borderId="3" xfId="0" applyNumberFormat="1" applyFont="1" applyFill="1" applyBorder="1" applyAlignment="1">
      <alignment horizontal="center" vertical="center"/>
    </xf>
    <xf numFmtId="17" fontId="15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9" fontId="14" fillId="0" borderId="3" xfId="2" applyFont="1" applyBorder="1" applyAlignment="1">
      <alignment horizontal="center" vertical="center"/>
    </xf>
    <xf numFmtId="0" fontId="14" fillId="0" borderId="3" xfId="0" applyFont="1" applyBorder="1"/>
    <xf numFmtId="0" fontId="27" fillId="7" borderId="3" xfId="0" applyFont="1" applyFill="1" applyBorder="1" applyAlignment="1">
      <alignment horizontal="left" wrapText="1" readingOrder="1"/>
    </xf>
    <xf numFmtId="10" fontId="14" fillId="0" borderId="3" xfId="2" applyNumberFormat="1" applyFont="1" applyBorder="1" applyAlignment="1">
      <alignment horizontal="center" vertical="center"/>
    </xf>
    <xf numFmtId="166" fontId="14" fillId="0" borderId="3" xfId="2" applyNumberFormat="1" applyFont="1" applyBorder="1" applyAlignment="1">
      <alignment horizontal="center" vertical="center"/>
    </xf>
    <xf numFmtId="0" fontId="14" fillId="0" borderId="3" xfId="2" applyNumberFormat="1" applyFont="1" applyBorder="1" applyAlignment="1">
      <alignment horizontal="center" vertical="center"/>
    </xf>
    <xf numFmtId="0" fontId="27" fillId="15" borderId="3" xfId="0" applyFont="1" applyFill="1" applyBorder="1" applyAlignment="1">
      <alignment horizontal="left" vertical="center" wrapText="1" readingOrder="1"/>
    </xf>
    <xf numFmtId="9" fontId="14" fillId="0" borderId="3" xfId="2" applyFont="1" applyBorder="1" applyAlignment="1">
      <alignment horizontal="center" vertical="center" readingOrder="1"/>
    </xf>
    <xf numFmtId="0" fontId="14" fillId="0" borderId="3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20" fillId="0" borderId="3" xfId="0" applyFont="1" applyBorder="1" applyAlignment="1">
      <alignment horizontal="left" vertical="center" readingOrder="1"/>
    </xf>
    <xf numFmtId="0" fontId="0" fillId="0" borderId="0" xfId="0" applyAlignment="1">
      <alignment horizontal="left"/>
    </xf>
    <xf numFmtId="0" fontId="21" fillId="16" borderId="3" xfId="0" applyFont="1" applyFill="1" applyBorder="1" applyAlignment="1">
      <alignment horizontal="left" vertical="center" wrapText="1"/>
    </xf>
    <xf numFmtId="9" fontId="8" fillId="0" borderId="3" xfId="2" applyFont="1" applyBorder="1" applyAlignment="1">
      <alignment horizontal="center" vertical="center"/>
    </xf>
    <xf numFmtId="9" fontId="6" fillId="14" borderId="3" xfId="0" applyNumberFormat="1" applyFont="1" applyFill="1" applyBorder="1" applyAlignment="1">
      <alignment horizontal="center" vertical="center" wrapText="1"/>
    </xf>
    <xf numFmtId="0" fontId="28" fillId="7" borderId="0" xfId="0" applyFont="1" applyFill="1"/>
    <xf numFmtId="0" fontId="16" fillId="7" borderId="3" xfId="0" applyFont="1" applyFill="1" applyBorder="1" applyAlignment="1">
      <alignment horizontal="left" wrapText="1" readingOrder="1"/>
    </xf>
    <xf numFmtId="0" fontId="16" fillId="15" borderId="3" xfId="0" applyFont="1" applyFill="1" applyBorder="1" applyAlignment="1">
      <alignment horizontal="left" wrapText="1" readingOrder="1"/>
    </xf>
    <xf numFmtId="10" fontId="6" fillId="17" borderId="3" xfId="0" applyNumberFormat="1" applyFont="1" applyFill="1" applyBorder="1" applyAlignment="1">
      <alignment horizontal="center" vertical="top"/>
    </xf>
    <xf numFmtId="10" fontId="29" fillId="9" borderId="3" xfId="0" applyNumberFormat="1" applyFont="1" applyFill="1" applyBorder="1" applyAlignment="1">
      <alignment horizontal="center" vertical="top"/>
    </xf>
    <xf numFmtId="9" fontId="12" fillId="0" borderId="3" xfId="2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/>
    </xf>
    <xf numFmtId="0" fontId="10" fillId="0" borderId="3" xfId="0" quotePrefix="1" applyFont="1" applyBorder="1" applyAlignment="1">
      <alignment horizontal="center" vertical="top"/>
    </xf>
    <xf numFmtId="10" fontId="12" fillId="0" borderId="3" xfId="3" applyNumberFormat="1" applyFont="1" applyBorder="1" applyAlignment="1">
      <alignment horizontal="center"/>
    </xf>
    <xf numFmtId="10" fontId="24" fillId="0" borderId="3" xfId="3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66" fontId="6" fillId="0" borderId="3" xfId="2" applyNumberFormat="1" applyFont="1" applyFill="1" applyBorder="1" applyAlignment="1">
      <alignment horizontal="center"/>
    </xf>
    <xf numFmtId="9" fontId="12" fillId="0" borderId="3" xfId="2" applyFont="1" applyFill="1" applyBorder="1" applyAlignment="1">
      <alignment horizontal="center" vertical="center"/>
    </xf>
    <xf numFmtId="166" fontId="12" fillId="0" borderId="3" xfId="2" applyNumberFormat="1" applyFont="1" applyFill="1" applyBorder="1" applyAlignment="1">
      <alignment horizontal="center" vertical="center"/>
    </xf>
    <xf numFmtId="10" fontId="9" fillId="0" borderId="3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9" fontId="6" fillId="0" borderId="3" xfId="2" applyFont="1" applyBorder="1" applyAlignment="1">
      <alignment horizontal="center"/>
    </xf>
    <xf numFmtId="9" fontId="6" fillId="0" borderId="3" xfId="1" applyNumberFormat="1" applyFont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/>
    </xf>
    <xf numFmtId="10" fontId="21" fillId="18" borderId="3" xfId="0" applyNumberFormat="1" applyFont="1" applyFill="1" applyBorder="1" applyAlignment="1">
      <alignment horizontal="center" vertical="top"/>
    </xf>
    <xf numFmtId="0" fontId="29" fillId="9" borderId="3" xfId="5" applyFont="1" applyFill="1" applyBorder="1" applyAlignment="1">
      <alignment horizontal="center"/>
    </xf>
    <xf numFmtId="0" fontId="29" fillId="9" borderId="0" xfId="5" applyFont="1" applyFill="1" applyAlignment="1">
      <alignment horizontal="center"/>
    </xf>
    <xf numFmtId="166" fontId="29" fillId="19" borderId="0" xfId="2" applyNumberFormat="1" applyFont="1" applyFill="1" applyAlignment="1">
      <alignment horizontal="center"/>
    </xf>
    <xf numFmtId="166" fontId="6" fillId="18" borderId="0" xfId="5" applyNumberFormat="1" applyFont="1" applyFill="1" applyAlignment="1">
      <alignment horizontal="center"/>
    </xf>
    <xf numFmtId="9" fontId="12" fillId="17" borderId="3" xfId="2" applyFont="1" applyFill="1" applyBorder="1" applyAlignment="1">
      <alignment horizontal="center" vertical="center"/>
    </xf>
    <xf numFmtId="166" fontId="6" fillId="17" borderId="3" xfId="2" quotePrefix="1" applyNumberFormat="1" applyFont="1" applyFill="1" applyBorder="1" applyAlignment="1">
      <alignment horizontal="center"/>
    </xf>
    <xf numFmtId="0" fontId="27" fillId="8" borderId="3" xfId="0" applyFont="1" applyFill="1" applyBorder="1" applyAlignment="1">
      <alignment horizontal="left" wrapText="1" readingOrder="1"/>
    </xf>
    <xf numFmtId="0" fontId="16" fillId="8" borderId="3" xfId="0" applyFont="1" applyFill="1" applyBorder="1" applyAlignment="1">
      <alignment horizontal="left" wrapText="1" readingOrder="1"/>
    </xf>
    <xf numFmtId="0" fontId="28" fillId="8" borderId="0" xfId="0" applyFont="1" applyFill="1"/>
    <xf numFmtId="0" fontId="10" fillId="20" borderId="3" xfId="0" applyFont="1" applyFill="1" applyBorder="1" applyAlignment="1">
      <alignment vertical="center" wrapText="1"/>
    </xf>
    <xf numFmtId="0" fontId="27" fillId="14" borderId="3" xfId="0" applyFont="1" applyFill="1" applyBorder="1" applyAlignment="1">
      <alignment horizontal="left" vertical="center" wrapText="1" readingOrder="1"/>
    </xf>
    <xf numFmtId="9" fontId="6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/>
    <xf numFmtId="9" fontId="6" fillId="0" borderId="3" xfId="2" quotePrefix="1" applyFont="1" applyFill="1" applyBorder="1" applyAlignment="1">
      <alignment horizontal="center"/>
    </xf>
    <xf numFmtId="0" fontId="30" fillId="0" borderId="3" xfId="0" applyFont="1" applyBorder="1" applyAlignment="1">
      <alignment horizontal="left" vertical="center" readingOrder="1"/>
    </xf>
    <xf numFmtId="0" fontId="28" fillId="14" borderId="3" xfId="0" applyFont="1" applyFill="1" applyBorder="1" applyAlignment="1">
      <alignment horizontal="left" vertical="center" wrapText="1" readingOrder="1"/>
    </xf>
    <xf numFmtId="9" fontId="8" fillId="0" borderId="3" xfId="2" applyFont="1" applyBorder="1" applyAlignment="1">
      <alignment horizontal="center" vertical="center" readingOrder="1"/>
    </xf>
    <xf numFmtId="0" fontId="28" fillId="8" borderId="3" xfId="0" applyFont="1" applyFill="1" applyBorder="1" applyAlignment="1">
      <alignment horizontal="left" wrapText="1" readingOrder="1"/>
    </xf>
    <xf numFmtId="166" fontId="8" fillId="0" borderId="3" xfId="2" applyNumberFormat="1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3" xfId="0" applyFont="1" applyBorder="1" applyAlignment="1">
      <alignment horizontal="center" vertical="center" readingOrder="1"/>
    </xf>
    <xf numFmtId="0" fontId="8" fillId="0" borderId="12" xfId="0" applyFont="1" applyBorder="1"/>
    <xf numFmtId="0" fontId="8" fillId="0" borderId="0" xfId="0" applyFont="1" applyAlignment="1">
      <alignment horizontal="center" vertical="center" readingOrder="1"/>
    </xf>
    <xf numFmtId="9" fontId="6" fillId="0" borderId="0" xfId="2" quotePrefix="1" applyFont="1" applyFill="1" applyBorder="1" applyAlignment="1">
      <alignment horizontal="center"/>
    </xf>
    <xf numFmtId="10" fontId="21" fillId="0" borderId="12" xfId="0" applyNumberFormat="1" applyFont="1" applyBorder="1" applyAlignment="1">
      <alignment horizontal="center" vertical="top"/>
    </xf>
    <xf numFmtId="9" fontId="6" fillId="0" borderId="12" xfId="2" quotePrefix="1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top"/>
    </xf>
    <xf numFmtId="0" fontId="10" fillId="8" borderId="3" xfId="0" applyFont="1" applyFill="1" applyBorder="1" applyAlignment="1">
      <alignment horizontal="left" wrapText="1" readingOrder="1"/>
    </xf>
    <xf numFmtId="9" fontId="6" fillId="0" borderId="3" xfId="0" applyNumberFormat="1" applyFont="1" applyBorder="1" applyAlignment="1">
      <alignment horizontal="center" vertical="top"/>
    </xf>
    <xf numFmtId="166" fontId="6" fillId="0" borderId="3" xfId="0" applyNumberFormat="1" applyFont="1" applyBorder="1" applyAlignment="1">
      <alignment horizontal="center" vertical="top"/>
    </xf>
    <xf numFmtId="166" fontId="6" fillId="0" borderId="3" xfId="2" quotePrefix="1" applyNumberFormat="1" applyFont="1" applyFill="1" applyBorder="1" applyAlignment="1">
      <alignment horizontal="center" vertical="center"/>
    </xf>
    <xf numFmtId="166" fontId="6" fillId="0" borderId="3" xfId="2" applyNumberFormat="1" applyFont="1" applyBorder="1" applyAlignment="1" applyProtection="1">
      <alignment horizontal="center" vertical="center"/>
    </xf>
    <xf numFmtId="9" fontId="21" fillId="15" borderId="3" xfId="0" applyNumberFormat="1" applyFont="1" applyFill="1" applyBorder="1" applyAlignment="1">
      <alignment horizontal="center" vertical="center"/>
    </xf>
    <xf numFmtId="166" fontId="12" fillId="0" borderId="3" xfId="2" quotePrefix="1" applyNumberFormat="1" applyFont="1" applyFill="1" applyBorder="1" applyAlignment="1">
      <alignment horizontal="center" vertical="center"/>
    </xf>
    <xf numFmtId="166" fontId="6" fillId="0" borderId="3" xfId="2" quotePrefix="1" applyNumberFormat="1" applyFont="1" applyFill="1" applyBorder="1" applyAlignment="1">
      <alignment horizontal="center"/>
    </xf>
    <xf numFmtId="10" fontId="21" fillId="15" borderId="3" xfId="0" applyNumberFormat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left" vertical="center" wrapText="1" readingOrder="1"/>
    </xf>
    <xf numFmtId="0" fontId="8" fillId="0" borderId="3" xfId="0" applyFont="1" applyBorder="1" applyAlignment="1">
      <alignment horizontal="center" vertical="center"/>
    </xf>
    <xf numFmtId="0" fontId="6" fillId="13" borderId="3" xfId="0" applyFont="1" applyFill="1" applyBorder="1"/>
    <xf numFmtId="166" fontId="21" fillId="15" borderId="3" xfId="0" applyNumberFormat="1" applyFont="1" applyFill="1" applyBorder="1" applyAlignment="1">
      <alignment horizontal="center" vertical="center"/>
    </xf>
    <xf numFmtId="10" fontId="6" fillId="0" borderId="3" xfId="2" applyNumberFormat="1" applyFont="1" applyFill="1" applyBorder="1" applyAlignment="1">
      <alignment horizontal="center" vertical="center"/>
    </xf>
    <xf numFmtId="166" fontId="6" fillId="0" borderId="3" xfId="2" quotePrefix="1" applyNumberFormat="1" applyFont="1" applyBorder="1" applyAlignment="1" applyProtection="1">
      <alignment horizontal="center" vertical="center"/>
    </xf>
    <xf numFmtId="0" fontId="8" fillId="21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10" fontId="6" fillId="0" borderId="3" xfId="2" quotePrefix="1" applyNumberFormat="1" applyFont="1" applyFill="1" applyBorder="1" applyAlignment="1">
      <alignment horizontal="center" vertical="center"/>
    </xf>
    <xf numFmtId="10" fontId="6" fillId="0" borderId="3" xfId="0" quotePrefix="1" applyNumberFormat="1" applyFont="1" applyBorder="1" applyAlignment="1">
      <alignment horizontal="center" vertical="top"/>
    </xf>
    <xf numFmtId="0" fontId="6" fillId="13" borderId="3" xfId="0" applyFont="1" applyFill="1" applyBorder="1" applyAlignment="1">
      <alignment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/>
    <xf numFmtId="17" fontId="6" fillId="0" borderId="3" xfId="0" applyNumberFormat="1" applyFont="1" applyBorder="1" applyAlignment="1">
      <alignment vertical="center" wrapText="1"/>
    </xf>
    <xf numFmtId="0" fontId="6" fillId="22" borderId="3" xfId="5" applyFont="1" applyFill="1" applyBorder="1" applyAlignment="1">
      <alignment horizontal="left"/>
    </xf>
    <xf numFmtId="0" fontId="6" fillId="23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166" fontId="0" fillId="0" borderId="0" xfId="2" applyNumberFormat="1" applyFont="1"/>
    <xf numFmtId="0" fontId="31" fillId="0" borderId="0" xfId="0" applyFont="1"/>
    <xf numFmtId="0" fontId="30" fillId="26" borderId="3" xfId="0" applyFont="1" applyFill="1" applyBorder="1" applyAlignment="1">
      <alignment horizontal="center" vertical="center" textRotation="90" wrapText="1" readingOrder="1"/>
    </xf>
    <xf numFmtId="0" fontId="28" fillId="27" borderId="3" xfId="0" applyFont="1" applyFill="1" applyBorder="1" applyAlignment="1">
      <alignment horizontal="center" vertical="center" textRotation="90"/>
    </xf>
    <xf numFmtId="0" fontId="28" fillId="0" borderId="3" xfId="0" applyFont="1" applyBorder="1" applyAlignment="1">
      <alignment horizontal="center" vertical="center" textRotation="90"/>
    </xf>
    <xf numFmtId="0" fontId="28" fillId="28" borderId="3" xfId="0" applyFont="1" applyFill="1" applyBorder="1" applyAlignment="1">
      <alignment horizontal="center" vertical="center" textRotation="90"/>
    </xf>
    <xf numFmtId="0" fontId="28" fillId="29" borderId="3" xfId="0" applyFont="1" applyFill="1" applyBorder="1" applyAlignment="1">
      <alignment horizontal="center" vertical="center" textRotation="90"/>
    </xf>
    <xf numFmtId="0" fontId="31" fillId="0" borderId="3" xfId="0" applyFont="1" applyBorder="1"/>
    <xf numFmtId="0" fontId="30" fillId="26" borderId="3" xfId="0" applyFont="1" applyFill="1" applyBorder="1" applyAlignment="1">
      <alignment horizontal="center" vertical="center" textRotation="90"/>
    </xf>
    <xf numFmtId="0" fontId="30" fillId="0" borderId="3" xfId="0" applyFont="1" applyBorder="1" applyAlignment="1">
      <alignment horizontal="center" vertical="center" textRotation="90"/>
    </xf>
    <xf numFmtId="0" fontId="30" fillId="0" borderId="3" xfId="0" applyFont="1" applyBorder="1" applyAlignment="1">
      <alignment horizontal="center" vertical="center"/>
    </xf>
    <xf numFmtId="0" fontId="32" fillId="26" borderId="3" xfId="0" applyFont="1" applyFill="1" applyBorder="1" applyAlignment="1">
      <alignment horizontal="center" vertical="center" textRotation="90"/>
    </xf>
    <xf numFmtId="0" fontId="30" fillId="32" borderId="3" xfId="0" applyFont="1" applyFill="1" applyBorder="1" applyAlignment="1">
      <alignment horizontal="center" vertical="center"/>
    </xf>
    <xf numFmtId="0" fontId="30" fillId="27" borderId="8" xfId="0" applyFont="1" applyFill="1" applyBorder="1" applyAlignment="1">
      <alignment vertical="center"/>
    </xf>
    <xf numFmtId="0" fontId="31" fillId="25" borderId="5" xfId="0" applyFont="1" applyFill="1" applyBorder="1"/>
    <xf numFmtId="0" fontId="31" fillId="25" borderId="5" xfId="0" applyFont="1" applyFill="1" applyBorder="1" applyAlignment="1">
      <alignment vertical="top" wrapText="1"/>
    </xf>
    <xf numFmtId="0" fontId="31" fillId="0" borderId="4" xfId="0" applyFont="1" applyBorder="1"/>
    <xf numFmtId="0" fontId="30" fillId="27" borderId="5" xfId="0" applyFont="1" applyFill="1" applyBorder="1" applyAlignment="1">
      <alignment vertical="center"/>
    </xf>
    <xf numFmtId="0" fontId="31" fillId="25" borderId="5" xfId="0" applyFont="1" applyFill="1" applyBorder="1" applyAlignment="1">
      <alignment wrapText="1"/>
    </xf>
    <xf numFmtId="0" fontId="33" fillId="25" borderId="5" xfId="0" applyFont="1" applyFill="1" applyBorder="1" applyAlignment="1">
      <alignment vertical="top" wrapText="1"/>
    </xf>
    <xf numFmtId="0" fontId="31" fillId="25" borderId="5" xfId="0" applyFont="1" applyFill="1" applyBorder="1" applyAlignment="1">
      <alignment horizontal="left" vertical="top" wrapText="1"/>
    </xf>
    <xf numFmtId="0" fontId="30" fillId="27" borderId="3" xfId="0" applyFont="1" applyFill="1" applyBorder="1" applyAlignment="1">
      <alignment horizontal="center" vertical="center"/>
    </xf>
    <xf numFmtId="0" fontId="31" fillId="25" borderId="3" xfId="0" applyFont="1" applyFill="1" applyBorder="1"/>
    <xf numFmtId="0" fontId="33" fillId="25" borderId="3" xfId="0" applyFont="1" applyFill="1" applyBorder="1" applyAlignment="1">
      <alignment vertical="top" wrapText="1"/>
    </xf>
    <xf numFmtId="0" fontId="33" fillId="25" borderId="3" xfId="0" applyFont="1" applyFill="1" applyBorder="1" applyAlignment="1">
      <alignment horizontal="left" vertical="top" wrapText="1"/>
    </xf>
    <xf numFmtId="0" fontId="31" fillId="25" borderId="3" xfId="0" applyFont="1" applyFill="1" applyBorder="1" applyAlignment="1">
      <alignment vertical="top" wrapText="1"/>
    </xf>
    <xf numFmtId="0" fontId="30" fillId="25" borderId="5" xfId="0" applyFont="1" applyFill="1" applyBorder="1" applyAlignment="1">
      <alignment vertical="center"/>
    </xf>
    <xf numFmtId="0" fontId="30" fillId="25" borderId="5" xfId="0" applyFont="1" applyFill="1" applyBorder="1" applyAlignment="1">
      <alignment vertical="top"/>
    </xf>
    <xf numFmtId="0" fontId="30" fillId="25" borderId="5" xfId="0" applyFont="1" applyFill="1" applyBorder="1" applyAlignment="1">
      <alignment vertical="top" wrapText="1"/>
    </xf>
    <xf numFmtId="0" fontId="30" fillId="25" borderId="5" xfId="0" applyFont="1" applyFill="1" applyBorder="1"/>
    <xf numFmtId="0" fontId="30" fillId="25" borderId="5" xfId="0" applyFont="1" applyFill="1" applyBorder="1" applyAlignment="1">
      <alignment horizontal="left" vertical="center" wrapText="1"/>
    </xf>
    <xf numFmtId="0" fontId="30" fillId="27" borderId="12" xfId="0" applyFont="1" applyFill="1" applyBorder="1" applyAlignment="1">
      <alignment horizontal="center" vertical="center"/>
    </xf>
    <xf numFmtId="0" fontId="30" fillId="25" borderId="3" xfId="0" applyFont="1" applyFill="1" applyBorder="1" applyAlignment="1">
      <alignment horizontal="center" vertical="center"/>
    </xf>
    <xf numFmtId="0" fontId="30" fillId="25" borderId="3" xfId="0" applyFont="1" applyFill="1" applyBorder="1" applyAlignment="1">
      <alignment horizontal="center" vertical="top"/>
    </xf>
    <xf numFmtId="0" fontId="21" fillId="33" borderId="3" xfId="0" applyFont="1" applyFill="1" applyBorder="1" applyAlignment="1">
      <alignment horizontal="center" vertical="center"/>
    </xf>
    <xf numFmtId="0" fontId="30" fillId="25" borderId="3" xfId="0" applyFont="1" applyFill="1" applyBorder="1" applyAlignment="1">
      <alignment horizontal="center"/>
    </xf>
    <xf numFmtId="0" fontId="30" fillId="25" borderId="5" xfId="0" applyFont="1" applyFill="1" applyBorder="1" applyAlignment="1">
      <alignment horizontal="center" vertical="center" wrapText="1"/>
    </xf>
    <xf numFmtId="0" fontId="30" fillId="25" borderId="3" xfId="0" applyFont="1" applyFill="1" applyBorder="1" applyAlignment="1">
      <alignment horizontal="left" vertical="center" wrapText="1"/>
    </xf>
    <xf numFmtId="0" fontId="30" fillId="25" borderId="3" xfId="0" applyFont="1" applyFill="1" applyBorder="1" applyAlignment="1">
      <alignment horizontal="left" vertical="center"/>
    </xf>
    <xf numFmtId="0" fontId="21" fillId="33" borderId="3" xfId="0" applyFont="1" applyFill="1" applyBorder="1" applyAlignment="1">
      <alignment horizontal="left" vertical="center" wrapText="1"/>
    </xf>
    <xf numFmtId="0" fontId="30" fillId="25" borderId="5" xfId="0" applyFont="1" applyFill="1" applyBorder="1" applyAlignment="1">
      <alignment horizontal="left" wrapText="1"/>
    </xf>
    <xf numFmtId="0" fontId="30" fillId="27" borderId="3" xfId="0" applyFont="1" applyFill="1" applyBorder="1" applyAlignment="1">
      <alignment vertical="center"/>
    </xf>
    <xf numFmtId="0" fontId="30" fillId="0" borderId="3" xfId="0" applyFont="1" applyBorder="1" applyAlignment="1">
      <alignment vertical="center"/>
    </xf>
    <xf numFmtId="0" fontId="30" fillId="0" borderId="3" xfId="0" applyFont="1" applyBorder="1" applyAlignment="1">
      <alignment vertical="top"/>
    </xf>
    <xf numFmtId="0" fontId="30" fillId="0" borderId="3" xfId="0" applyFont="1" applyBorder="1"/>
    <xf numFmtId="0" fontId="30" fillId="0" borderId="3" xfId="0" applyFont="1" applyBorder="1" applyAlignment="1">
      <alignment horizontal="left" wrapText="1"/>
    </xf>
    <xf numFmtId="0" fontId="30" fillId="0" borderId="3" xfId="0" applyFont="1" applyBorder="1" applyAlignment="1">
      <alignment horizontal="left" vertical="center" wrapText="1"/>
    </xf>
    <xf numFmtId="166" fontId="6" fillId="0" borderId="3" xfId="2" applyNumberFormat="1" applyFont="1" applyFill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3" xfId="2" applyNumberFormat="1" applyFont="1" applyBorder="1" applyAlignment="1" applyProtection="1">
      <alignment horizontal="center" vertical="center"/>
    </xf>
    <xf numFmtId="10" fontId="6" fillId="0" borderId="3" xfId="2" quotePrefix="1" applyNumberFormat="1" applyFont="1" applyFill="1" applyBorder="1" applyAlignment="1">
      <alignment horizontal="center"/>
    </xf>
    <xf numFmtId="0" fontId="33" fillId="25" borderId="3" xfId="0" applyFont="1" applyFill="1" applyBorder="1" applyAlignment="1">
      <alignment wrapText="1"/>
    </xf>
    <xf numFmtId="0" fontId="30" fillId="25" borderId="3" xfId="0" applyFont="1" applyFill="1" applyBorder="1" applyAlignment="1">
      <alignment vertical="center"/>
    </xf>
    <xf numFmtId="0" fontId="21" fillId="33" borderId="3" xfId="0" applyFont="1" applyFill="1" applyBorder="1" applyAlignment="1">
      <alignment vertical="center"/>
    </xf>
    <xf numFmtId="0" fontId="30" fillId="25" borderId="3" xfId="0" applyFont="1" applyFill="1" applyBorder="1" applyAlignment="1">
      <alignment vertical="center" wrapText="1"/>
    </xf>
    <xf numFmtId="0" fontId="21" fillId="33" borderId="3" xfId="0" applyFont="1" applyFill="1" applyBorder="1" applyAlignment="1">
      <alignment vertical="center" wrapText="1"/>
    </xf>
    <xf numFmtId="0" fontId="30" fillId="25" borderId="3" xfId="0" applyFont="1" applyFill="1" applyBorder="1"/>
    <xf numFmtId="0" fontId="30" fillId="0" borderId="3" xfId="0" applyFont="1" applyBorder="1" applyAlignment="1">
      <alignment horizontal="center" vertical="center" wrapText="1" readingOrder="1"/>
    </xf>
    <xf numFmtId="10" fontId="6" fillId="0" borderId="12" xfId="0" applyNumberFormat="1" applyFont="1" applyBorder="1" applyAlignment="1">
      <alignment horizontal="center" vertical="top"/>
    </xf>
    <xf numFmtId="10" fontId="12" fillId="0" borderId="3" xfId="2" quotePrefix="1" applyNumberFormat="1" applyFont="1" applyFill="1" applyBorder="1" applyAlignment="1">
      <alignment horizontal="center" vertical="center"/>
    </xf>
    <xf numFmtId="10" fontId="22" fillId="0" borderId="3" xfId="0" applyNumberFormat="1" applyFont="1" applyBorder="1" applyAlignment="1">
      <alignment horizontal="center" vertical="center" wrapText="1"/>
    </xf>
    <xf numFmtId="10" fontId="22" fillId="25" borderId="3" xfId="2" applyNumberFormat="1" applyFont="1" applyFill="1" applyBorder="1" applyAlignment="1">
      <alignment horizontal="center" vertical="center" wrapText="1"/>
    </xf>
    <xf numFmtId="10" fontId="6" fillId="34" borderId="3" xfId="2" applyNumberFormat="1" applyFont="1" applyFill="1" applyBorder="1" applyAlignment="1">
      <alignment horizontal="center"/>
    </xf>
    <xf numFmtId="0" fontId="28" fillId="30" borderId="3" xfId="0" applyFont="1" applyFill="1" applyBorder="1" applyAlignment="1">
      <alignment horizontal="center" textRotation="90" wrapText="1" readingOrder="1"/>
    </xf>
    <xf numFmtId="0" fontId="10" fillId="30" borderId="3" xfId="0" applyFont="1" applyFill="1" applyBorder="1" applyAlignment="1">
      <alignment horizontal="center" textRotation="90" wrapText="1" readingOrder="1"/>
    </xf>
    <xf numFmtId="0" fontId="10" fillId="8" borderId="3" xfId="0" applyFont="1" applyFill="1" applyBorder="1" applyAlignment="1">
      <alignment horizontal="center" textRotation="90" wrapText="1" readingOrder="1"/>
    </xf>
    <xf numFmtId="0" fontId="21" fillId="31" borderId="3" xfId="0" applyFont="1" applyFill="1" applyBorder="1" applyAlignment="1">
      <alignment horizontal="center" textRotation="90" wrapText="1" readingOrder="1"/>
    </xf>
    <xf numFmtId="0" fontId="30" fillId="29" borderId="3" xfId="0" applyFont="1" applyFill="1" applyBorder="1" applyAlignment="1">
      <alignment horizontal="center" textRotation="90" readingOrder="1"/>
    </xf>
    <xf numFmtId="0" fontId="28" fillId="8" borderId="3" xfId="0" applyFont="1" applyFill="1" applyBorder="1" applyAlignment="1">
      <alignment horizontal="left" textRotation="90" wrapText="1" readingOrder="1"/>
    </xf>
    <xf numFmtId="10" fontId="8" fillId="0" borderId="0" xfId="2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166" fontId="1" fillId="0" borderId="7" xfId="2" applyNumberFormat="1" applyFont="1" applyBorder="1" applyAlignment="1">
      <alignment horizontal="center" vertical="center"/>
    </xf>
    <xf numFmtId="0" fontId="6" fillId="37" borderId="14" xfId="0" applyFont="1" applyFill="1" applyBorder="1" applyAlignment="1">
      <alignment horizontal="center" vertical="center" wrapText="1"/>
    </xf>
    <xf numFmtId="166" fontId="1" fillId="0" borderId="30" xfId="2" applyNumberFormat="1" applyFont="1" applyBorder="1" applyAlignment="1">
      <alignment horizontal="center" vertical="center"/>
    </xf>
    <xf numFmtId="166" fontId="1" fillId="0" borderId="10" xfId="2" applyNumberFormat="1" applyFont="1" applyBorder="1" applyAlignment="1">
      <alignment horizontal="center" vertical="center"/>
    </xf>
    <xf numFmtId="166" fontId="1" fillId="0" borderId="29" xfId="2" applyNumberFormat="1" applyFont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8" fillId="2" borderId="31" xfId="0" applyFont="1" applyFill="1" applyBorder="1" applyAlignment="1">
      <alignment vertical="center"/>
    </xf>
    <xf numFmtId="166" fontId="1" fillId="0" borderId="23" xfId="2" applyNumberFormat="1" applyFont="1" applyBorder="1" applyAlignment="1">
      <alignment horizontal="center" vertical="center"/>
    </xf>
    <xf numFmtId="166" fontId="1" fillId="0" borderId="24" xfId="2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8" fillId="2" borderId="23" xfId="0" applyFont="1" applyFill="1" applyBorder="1" applyAlignment="1">
      <alignment vertical="center"/>
    </xf>
    <xf numFmtId="10" fontId="8" fillId="0" borderId="0" xfId="2" applyNumberFormat="1" applyFont="1"/>
    <xf numFmtId="10" fontId="8" fillId="0" borderId="0" xfId="0" applyNumberFormat="1" applyFont="1"/>
    <xf numFmtId="2" fontId="1" fillId="0" borderId="38" xfId="2" applyNumberFormat="1" applyFont="1" applyBorder="1" applyAlignment="1">
      <alignment horizontal="center" vertical="center"/>
    </xf>
    <xf numFmtId="2" fontId="1" fillId="0" borderId="39" xfId="2" applyNumberFormat="1" applyFont="1" applyBorder="1" applyAlignment="1">
      <alignment horizontal="center" vertical="center"/>
    </xf>
    <xf numFmtId="0" fontId="8" fillId="2" borderId="10" xfId="0" applyFont="1" applyFill="1" applyBorder="1" applyAlignment="1">
      <alignment vertical="center"/>
    </xf>
    <xf numFmtId="0" fontId="8" fillId="2" borderId="29" xfId="0" applyFont="1" applyFill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32" fillId="13" borderId="40" xfId="0" applyFont="1" applyFill="1" applyBorder="1" applyAlignment="1">
      <alignment horizontal="left" vertical="center" wrapText="1"/>
    </xf>
    <xf numFmtId="0" fontId="35" fillId="20" borderId="36" xfId="0" applyFont="1" applyFill="1" applyBorder="1" applyAlignment="1">
      <alignment horizontal="left" vertical="center" wrapText="1"/>
    </xf>
    <xf numFmtId="0" fontId="32" fillId="20" borderId="36" xfId="0" applyFont="1" applyFill="1" applyBorder="1" applyAlignment="1">
      <alignment horizontal="left" vertical="center" wrapText="1"/>
    </xf>
    <xf numFmtId="0" fontId="36" fillId="20" borderId="41" xfId="0" applyFont="1" applyFill="1" applyBorder="1" applyAlignment="1">
      <alignment horizontal="left" vertical="center" wrapText="1"/>
    </xf>
    <xf numFmtId="2" fontId="1" fillId="0" borderId="37" xfId="2" applyNumberFormat="1" applyFont="1" applyBorder="1" applyAlignment="1">
      <alignment horizontal="center" vertical="center"/>
    </xf>
    <xf numFmtId="166" fontId="1" fillId="0" borderId="26" xfId="2" applyNumberFormat="1" applyFont="1" applyBorder="1" applyAlignment="1">
      <alignment horizontal="center" vertical="center"/>
    </xf>
    <xf numFmtId="166" fontId="1" fillId="0" borderId="13" xfId="2" applyNumberFormat="1" applyFont="1" applyBorder="1" applyAlignment="1">
      <alignment horizontal="center" vertical="center"/>
    </xf>
    <xf numFmtId="166" fontId="1" fillId="0" borderId="44" xfId="2" applyNumberFormat="1" applyFont="1" applyBorder="1" applyAlignment="1">
      <alignment horizontal="center" vertical="center"/>
    </xf>
    <xf numFmtId="166" fontId="1" fillId="0" borderId="45" xfId="2" applyNumberFormat="1" applyFont="1" applyBorder="1" applyAlignment="1">
      <alignment horizontal="center" vertical="center"/>
    </xf>
    <xf numFmtId="166" fontId="1" fillId="0" borderId="32" xfId="2" applyNumberFormat="1" applyFont="1" applyBorder="1" applyAlignment="1">
      <alignment horizontal="center" vertical="center"/>
    </xf>
    <xf numFmtId="166" fontId="1" fillId="0" borderId="48" xfId="2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166" fontId="1" fillId="0" borderId="49" xfId="2" applyNumberFormat="1" applyFont="1" applyBorder="1" applyAlignment="1">
      <alignment horizontal="center" vertical="center"/>
    </xf>
    <xf numFmtId="166" fontId="1" fillId="0" borderId="47" xfId="2" applyNumberFormat="1" applyFont="1" applyBorder="1" applyAlignment="1">
      <alignment horizontal="center" vertical="center"/>
    </xf>
    <xf numFmtId="0" fontId="32" fillId="13" borderId="14" xfId="0" applyFont="1" applyFill="1" applyBorder="1" applyAlignment="1">
      <alignment horizontal="left" vertical="center" wrapText="1"/>
    </xf>
    <xf numFmtId="166" fontId="1" fillId="0" borderId="14" xfId="2" applyNumberFormat="1" applyFont="1" applyBorder="1" applyAlignment="1">
      <alignment horizontal="center" vertical="center"/>
    </xf>
    <xf numFmtId="10" fontId="44" fillId="39" borderId="14" xfId="0" applyNumberFormat="1" applyFont="1" applyFill="1" applyBorder="1" applyAlignment="1">
      <alignment horizontal="center" vertical="center"/>
    </xf>
    <xf numFmtId="10" fontId="42" fillId="39" borderId="14" xfId="0" applyNumberFormat="1" applyFont="1" applyFill="1" applyBorder="1" applyAlignment="1">
      <alignment horizontal="center" vertical="top"/>
    </xf>
    <xf numFmtId="0" fontId="8" fillId="2" borderId="14" xfId="0" quotePrefix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vertical="center"/>
    </xf>
    <xf numFmtId="0" fontId="35" fillId="20" borderId="14" xfId="0" applyFont="1" applyFill="1" applyBorder="1" applyAlignment="1">
      <alignment horizontal="left" vertical="center" wrapText="1"/>
    </xf>
    <xf numFmtId="10" fontId="40" fillId="39" borderId="14" xfId="0" applyNumberFormat="1" applyFont="1" applyFill="1" applyBorder="1" applyAlignment="1">
      <alignment horizontal="center" vertical="center"/>
    </xf>
    <xf numFmtId="10" fontId="43" fillId="40" borderId="14" xfId="0" applyNumberFormat="1" applyFont="1" applyFill="1" applyBorder="1" applyAlignment="1">
      <alignment horizontal="center" vertical="top"/>
    </xf>
    <xf numFmtId="166" fontId="1" fillId="38" borderId="14" xfId="2" applyNumberFormat="1" applyFont="1" applyFill="1" applyBorder="1" applyAlignment="1">
      <alignment horizontal="center" vertical="center"/>
    </xf>
    <xf numFmtId="0" fontId="32" fillId="20" borderId="14" xfId="0" applyFont="1" applyFill="1" applyBorder="1" applyAlignment="1">
      <alignment horizontal="left" vertical="center" wrapText="1"/>
    </xf>
    <xf numFmtId="166" fontId="38" fillId="9" borderId="14" xfId="2" applyNumberFormat="1" applyFont="1" applyFill="1" applyBorder="1" applyAlignment="1">
      <alignment horizontal="center" vertical="center"/>
    </xf>
    <xf numFmtId="10" fontId="41" fillId="40" borderId="14" xfId="0" applyNumberFormat="1" applyFont="1" applyFill="1" applyBorder="1" applyAlignment="1">
      <alignment horizontal="center" vertical="center"/>
    </xf>
    <xf numFmtId="0" fontId="36" fillId="20" borderId="14" xfId="0" applyFont="1" applyFill="1" applyBorder="1" applyAlignment="1">
      <alignment horizontal="left" vertical="center" wrapText="1"/>
    </xf>
    <xf numFmtId="166" fontId="34" fillId="36" borderId="14" xfId="2" applyNumberFormat="1" applyFont="1" applyFill="1" applyBorder="1" applyAlignment="1">
      <alignment horizontal="center" vertical="center"/>
    </xf>
    <xf numFmtId="10" fontId="1" fillId="0" borderId="14" xfId="2" applyNumberFormat="1" applyFont="1" applyBorder="1" applyAlignment="1">
      <alignment horizontal="center" vertical="center"/>
    </xf>
    <xf numFmtId="166" fontId="32" fillId="35" borderId="14" xfId="0" applyNumberFormat="1" applyFont="1" applyFill="1" applyBorder="1" applyAlignment="1">
      <alignment horizontal="center" vertical="center" wrapText="1"/>
    </xf>
    <xf numFmtId="10" fontId="42" fillId="39" borderId="14" xfId="0" applyNumberFormat="1" applyFont="1" applyFill="1" applyBorder="1" applyAlignment="1">
      <alignment horizontal="center" vertical="center"/>
    </xf>
    <xf numFmtId="166" fontId="1" fillId="7" borderId="14" xfId="2" applyNumberFormat="1" applyFont="1" applyFill="1" applyBorder="1" applyAlignment="1">
      <alignment horizontal="center" vertical="center"/>
    </xf>
    <xf numFmtId="166" fontId="37" fillId="38" borderId="14" xfId="2" applyNumberFormat="1" applyFont="1" applyFill="1" applyBorder="1" applyAlignment="1">
      <alignment horizontal="center" vertical="center"/>
    </xf>
    <xf numFmtId="166" fontId="1" fillId="25" borderId="14" xfId="2" applyNumberFormat="1" applyFont="1" applyFill="1" applyBorder="1" applyAlignment="1">
      <alignment horizontal="center" vertical="center"/>
    </xf>
    <xf numFmtId="10" fontId="45" fillId="39" borderId="14" xfId="0" applyNumberFormat="1" applyFont="1" applyFill="1" applyBorder="1" applyAlignment="1">
      <alignment horizontal="center" vertical="center"/>
    </xf>
    <xf numFmtId="166" fontId="1" fillId="9" borderId="14" xfId="2" applyNumberFormat="1" applyFont="1" applyFill="1" applyBorder="1" applyAlignment="1">
      <alignment horizontal="center" vertical="center"/>
    </xf>
    <xf numFmtId="10" fontId="46" fillId="40" borderId="14" xfId="0" applyNumberFormat="1" applyFont="1" applyFill="1" applyBorder="1" applyAlignment="1">
      <alignment horizontal="center" vertical="center"/>
    </xf>
    <xf numFmtId="10" fontId="46" fillId="41" borderId="14" xfId="0" applyNumberFormat="1" applyFont="1" applyFill="1" applyBorder="1" applyAlignment="1">
      <alignment horizontal="center" vertical="center"/>
    </xf>
    <xf numFmtId="10" fontId="47" fillId="40" borderId="14" xfId="0" applyNumberFormat="1" applyFont="1" applyFill="1" applyBorder="1" applyAlignment="1">
      <alignment horizontal="center" vertical="center"/>
    </xf>
    <xf numFmtId="10" fontId="48" fillId="39" borderId="14" xfId="0" applyNumberFormat="1" applyFont="1" applyFill="1" applyBorder="1" applyAlignment="1">
      <alignment horizontal="center" vertical="center"/>
    </xf>
    <xf numFmtId="10" fontId="49" fillId="39" borderId="14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 readingOrder="1"/>
    </xf>
    <xf numFmtId="0" fontId="30" fillId="0" borderId="3" xfId="0" applyFont="1" applyBorder="1" applyAlignment="1">
      <alignment horizontal="left" vertical="center" wrapText="1" readingOrder="1"/>
    </xf>
    <xf numFmtId="0" fontId="6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23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 wrapText="1"/>
    </xf>
    <xf numFmtId="0" fontId="6" fillId="24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25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9" fontId="2" fillId="7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9" fontId="2" fillId="7" borderId="14" xfId="2" applyFont="1" applyFill="1" applyBorder="1" applyAlignment="1">
      <alignment horizontal="center" vertical="center"/>
    </xf>
    <xf numFmtId="166" fontId="2" fillId="7" borderId="14" xfId="0" applyNumberFormat="1" applyFont="1" applyFill="1" applyBorder="1" applyAlignment="1">
      <alignment horizontal="center" vertical="center"/>
    </xf>
    <xf numFmtId="10" fontId="2" fillId="7" borderId="14" xfId="0" applyNumberFormat="1" applyFont="1" applyFill="1" applyBorder="1" applyAlignment="1">
      <alignment horizontal="center" vertical="center"/>
    </xf>
    <xf numFmtId="0" fontId="2" fillId="25" borderId="15" xfId="0" applyFont="1" applyFill="1" applyBorder="1" applyAlignment="1">
      <alignment horizontal="center" vertical="center"/>
    </xf>
    <xf numFmtId="0" fontId="2" fillId="25" borderId="16" xfId="0" applyFont="1" applyFill="1" applyBorder="1" applyAlignment="1">
      <alignment horizontal="center" vertical="center"/>
    </xf>
    <xf numFmtId="9" fontId="2" fillId="7" borderId="33" xfId="0" applyNumberFormat="1" applyFont="1" applyFill="1" applyBorder="1" applyAlignment="1">
      <alignment horizontal="center" vertical="center"/>
    </xf>
    <xf numFmtId="9" fontId="2" fillId="7" borderId="34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9" fontId="2" fillId="7" borderId="28" xfId="0" applyNumberFormat="1" applyFont="1" applyFill="1" applyBorder="1" applyAlignment="1">
      <alignment horizontal="center" vertical="center"/>
    </xf>
    <xf numFmtId="9" fontId="2" fillId="7" borderId="29" xfId="0" applyNumberFormat="1" applyFont="1" applyFill="1" applyBorder="1" applyAlignment="1">
      <alignment horizontal="center" vertical="center"/>
    </xf>
    <xf numFmtId="9" fontId="2" fillId="7" borderId="46" xfId="0" applyNumberFormat="1" applyFont="1" applyFill="1" applyBorder="1" applyAlignment="1">
      <alignment horizontal="center" vertical="center"/>
    </xf>
    <xf numFmtId="9" fontId="2" fillId="7" borderId="47" xfId="0" applyNumberFormat="1" applyFont="1" applyFill="1" applyBorder="1" applyAlignment="1">
      <alignment horizontal="center" vertical="center"/>
    </xf>
    <xf numFmtId="9" fontId="2" fillId="7" borderId="26" xfId="0" applyNumberFormat="1" applyFont="1" applyFill="1" applyBorder="1" applyAlignment="1">
      <alignment horizontal="center" vertical="center"/>
    </xf>
    <xf numFmtId="9" fontId="2" fillId="7" borderId="24" xfId="0" applyNumberFormat="1" applyFont="1" applyFill="1" applyBorder="1" applyAlignment="1">
      <alignment horizontal="center" vertical="center"/>
    </xf>
    <xf numFmtId="9" fontId="2" fillId="7" borderId="22" xfId="0" applyNumberFormat="1" applyFont="1" applyFill="1" applyBorder="1" applyAlignment="1">
      <alignment horizontal="center" vertical="center"/>
    </xf>
    <xf numFmtId="9" fontId="2" fillId="7" borderId="25" xfId="0" applyNumberFormat="1" applyFont="1" applyFill="1" applyBorder="1" applyAlignment="1">
      <alignment horizontal="center" vertical="center"/>
    </xf>
    <xf numFmtId="9" fontId="2" fillId="7" borderId="27" xfId="0" applyNumberFormat="1" applyFont="1" applyFill="1" applyBorder="1" applyAlignment="1">
      <alignment horizontal="center" vertical="center"/>
    </xf>
    <xf numFmtId="9" fontId="2" fillId="7" borderId="42" xfId="0" applyNumberFormat="1" applyFont="1" applyFill="1" applyBorder="1" applyAlignment="1">
      <alignment horizontal="center" vertical="center"/>
    </xf>
    <xf numFmtId="9" fontId="2" fillId="7" borderId="17" xfId="0" applyNumberFormat="1" applyFont="1" applyFill="1" applyBorder="1" applyAlignment="1">
      <alignment horizontal="center" vertical="center"/>
    </xf>
    <xf numFmtId="9" fontId="2" fillId="7" borderId="18" xfId="0" applyNumberFormat="1" applyFont="1" applyFill="1" applyBorder="1" applyAlignment="1">
      <alignment horizontal="center" vertical="center"/>
    </xf>
    <xf numFmtId="2" fontId="2" fillId="7" borderId="17" xfId="0" applyNumberFormat="1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center" vertical="center"/>
    </xf>
    <xf numFmtId="9" fontId="2" fillId="7" borderId="35" xfId="0" applyNumberFormat="1" applyFont="1" applyFill="1" applyBorder="1" applyAlignment="1">
      <alignment horizontal="center" vertical="center"/>
    </xf>
    <xf numFmtId="9" fontId="2" fillId="7" borderId="43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 readingOrder="1"/>
    </xf>
    <xf numFmtId="0" fontId="20" fillId="0" borderId="3" xfId="0" applyFont="1" applyBorder="1" applyAlignment="1">
      <alignment horizontal="left" vertical="center" wrapText="1" readingOrder="1"/>
    </xf>
    <xf numFmtId="0" fontId="25" fillId="0" borderId="3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9">
    <cellStyle name="Comma" xfId="1" builtinId="3"/>
    <cellStyle name="Normal" xfId="0" builtinId="0"/>
    <cellStyle name="Normal 2" xfId="5" xr:uid="{00000000-0005-0000-0000-000002000000}"/>
    <cellStyle name="Normal 2 2" xfId="10" xr:uid="{00000000-0005-0000-0000-000003000000}"/>
    <cellStyle name="Normal 2 2 2" xfId="13" xr:uid="{00000000-0005-0000-0000-000004000000}"/>
    <cellStyle name="Normal 2 2 2 2 2 2 2 11 2" xfId="14" xr:uid="{00000000-0005-0000-0000-000005000000}"/>
    <cellStyle name="Normal 2 2 2 2 2 2 2 11 2 2 3 2" xfId="15" xr:uid="{00000000-0005-0000-0000-000006000000}"/>
    <cellStyle name="Normal 2 3" xfId="18" xr:uid="{5378644F-5AD7-4083-BE66-9A21E8AA8A40}"/>
    <cellStyle name="Normal 2 4 3 2 2 2 2 2 6" xfId="12" xr:uid="{00000000-0005-0000-0000-000007000000}"/>
    <cellStyle name="Normal 2 4 3 2 5 2 6" xfId="11" xr:uid="{00000000-0005-0000-0000-000008000000}"/>
    <cellStyle name="Normal 3" xfId="16" xr:uid="{00000000-0005-0000-0000-000009000000}"/>
    <cellStyle name="Normal 63" xfId="4" xr:uid="{00000000-0005-0000-0000-00000A000000}"/>
    <cellStyle name="Percent" xfId="2" builtinId="5"/>
    <cellStyle name="Percent 10" xfId="6" xr:uid="{00000000-0005-0000-0000-00000C000000}"/>
    <cellStyle name="Percent 2 2 2" xfId="9" xr:uid="{00000000-0005-0000-0000-00000D000000}"/>
    <cellStyle name="Percent 2 5" xfId="8" xr:uid="{00000000-0005-0000-0000-00000E000000}"/>
    <cellStyle name="Percent 2 6" xfId="7" xr:uid="{00000000-0005-0000-0000-00000F000000}"/>
    <cellStyle name="Percent 4 3 2" xfId="17" xr:uid="{00000000-0005-0000-0000-000010000000}"/>
    <cellStyle name="Percent 8 2" xfId="3" xr:uid="{00000000-0005-0000-0000-000011000000}"/>
  </cellStyles>
  <dxfs count="1804">
    <dxf>
      <font>
        <color theme="1"/>
      </font>
      <fill>
        <patternFill>
          <bgColor rgb="FF00FF0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FF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5DF509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5DF509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5DF509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5DF509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solid"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solid"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auto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FF99FF"/>
      <color rgb="FF00FF00"/>
      <color rgb="FFCCFF33"/>
      <color rgb="FF003366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U28"/>
  <sheetViews>
    <sheetView topLeftCell="A10" zoomScale="80" zoomScaleNormal="80" workbookViewId="0">
      <selection activeCell="W6" sqref="W6"/>
    </sheetView>
  </sheetViews>
  <sheetFormatPr defaultRowHeight="15" x14ac:dyDescent="0.25"/>
  <cols>
    <col min="1" max="1" width="12.28515625" bestFit="1" customWidth="1"/>
  </cols>
  <sheetData>
    <row r="1" spans="1:21" x14ac:dyDescent="0.25">
      <c r="A1" s="197"/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</row>
    <row r="2" spans="1:21" ht="14.25" customHeight="1" x14ac:dyDescent="0.25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</row>
    <row r="3" spans="1:21" hidden="1" x14ac:dyDescent="0.25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</row>
    <row r="4" spans="1:21" ht="77.25" customHeight="1" x14ac:dyDescent="0.25">
      <c r="A4" s="198" t="s">
        <v>0</v>
      </c>
      <c r="B4" s="199" t="s">
        <v>1</v>
      </c>
      <c r="C4" s="199" t="s">
        <v>1</v>
      </c>
      <c r="D4" s="199"/>
      <c r="E4" s="199" t="s">
        <v>1</v>
      </c>
      <c r="F4" s="199" t="s">
        <v>1</v>
      </c>
      <c r="G4" s="200" t="s">
        <v>2</v>
      </c>
      <c r="H4" s="200" t="s">
        <v>2</v>
      </c>
      <c r="I4" s="200" t="s">
        <v>2</v>
      </c>
      <c r="J4" s="201" t="s">
        <v>2</v>
      </c>
      <c r="K4" s="201"/>
      <c r="L4" s="201"/>
      <c r="M4" s="200"/>
      <c r="N4" s="200" t="s">
        <v>2</v>
      </c>
      <c r="O4" s="199" t="s">
        <v>1</v>
      </c>
      <c r="P4" s="199" t="s">
        <v>1</v>
      </c>
      <c r="Q4" s="202" t="s">
        <v>3</v>
      </c>
      <c r="R4" s="202" t="s">
        <v>3</v>
      </c>
      <c r="S4" s="202" t="s">
        <v>3</v>
      </c>
      <c r="T4" s="202" t="s">
        <v>3</v>
      </c>
      <c r="U4" s="197"/>
    </row>
    <row r="5" spans="1:21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197"/>
    </row>
    <row r="6" spans="1:21" ht="285" x14ac:dyDescent="0.25">
      <c r="A6" s="204" t="s">
        <v>4</v>
      </c>
      <c r="B6" s="259" t="s">
        <v>5</v>
      </c>
      <c r="C6" s="260" t="s">
        <v>6</v>
      </c>
      <c r="D6" s="261" t="s">
        <v>7</v>
      </c>
      <c r="E6" s="259" t="s">
        <v>8</v>
      </c>
      <c r="F6" s="259" t="s">
        <v>9</v>
      </c>
      <c r="G6" s="259" t="s">
        <v>10</v>
      </c>
      <c r="H6" s="259" t="s">
        <v>11</v>
      </c>
      <c r="I6" s="259" t="s">
        <v>12</v>
      </c>
      <c r="J6" s="259" t="s">
        <v>13</v>
      </c>
      <c r="K6" s="264" t="s">
        <v>14</v>
      </c>
      <c r="L6" s="259" t="s">
        <v>15</v>
      </c>
      <c r="M6" s="259" t="s">
        <v>16</v>
      </c>
      <c r="N6" s="259" t="s">
        <v>17</v>
      </c>
      <c r="O6" s="262" t="s">
        <v>18</v>
      </c>
      <c r="P6" s="262" t="s">
        <v>19</v>
      </c>
      <c r="Q6" s="263" t="s">
        <v>20</v>
      </c>
      <c r="R6" s="263" t="s">
        <v>21</v>
      </c>
      <c r="S6" s="263" t="s">
        <v>22</v>
      </c>
      <c r="T6" s="263" t="s">
        <v>23</v>
      </c>
      <c r="U6" s="197"/>
    </row>
    <row r="7" spans="1:21" x14ac:dyDescent="0.25">
      <c r="A7" s="205" t="s">
        <v>24</v>
      </c>
      <c r="B7" s="206">
        <v>1</v>
      </c>
      <c r="C7" s="206">
        <v>2</v>
      </c>
      <c r="D7" s="206">
        <v>3</v>
      </c>
      <c r="E7" s="206">
        <v>4</v>
      </c>
      <c r="F7" s="206">
        <v>5</v>
      </c>
      <c r="G7" s="206">
        <v>6</v>
      </c>
      <c r="H7" s="206">
        <v>7</v>
      </c>
      <c r="I7" s="206">
        <v>8</v>
      </c>
      <c r="J7" s="206">
        <v>9</v>
      </c>
      <c r="K7" s="206">
        <v>10</v>
      </c>
      <c r="L7" s="206">
        <v>11</v>
      </c>
      <c r="M7" s="206">
        <v>12</v>
      </c>
      <c r="N7" s="206">
        <v>13</v>
      </c>
      <c r="O7" s="206">
        <v>14</v>
      </c>
      <c r="P7" s="206">
        <v>15</v>
      </c>
      <c r="Q7" s="206">
        <v>16</v>
      </c>
      <c r="R7" s="206">
        <v>17</v>
      </c>
      <c r="S7" s="206">
        <v>18</v>
      </c>
      <c r="T7" s="206">
        <v>19</v>
      </c>
      <c r="U7" s="197"/>
    </row>
    <row r="8" spans="1:21" ht="34.5" x14ac:dyDescent="0.25">
      <c r="A8" s="207" t="s">
        <v>25</v>
      </c>
      <c r="B8" s="119">
        <v>0.95</v>
      </c>
      <c r="C8" s="119">
        <v>0.65</v>
      </c>
      <c r="D8" s="119">
        <v>0.9</v>
      </c>
      <c r="E8" s="119">
        <v>0.03</v>
      </c>
      <c r="F8" s="119">
        <v>0.95</v>
      </c>
      <c r="G8" s="119">
        <v>0.7</v>
      </c>
      <c r="H8" s="119">
        <v>0.28999999999999998</v>
      </c>
      <c r="I8" s="159">
        <v>0.05</v>
      </c>
      <c r="J8" s="119">
        <v>0.95</v>
      </c>
      <c r="K8" s="119">
        <v>0.7</v>
      </c>
      <c r="L8" s="119">
        <v>0.28999999999999998</v>
      </c>
      <c r="M8" s="159">
        <v>4.4299999999999999E-2</v>
      </c>
      <c r="N8" s="119">
        <v>0.9</v>
      </c>
      <c r="O8" s="119">
        <v>0.86</v>
      </c>
      <c r="P8" s="119">
        <v>0.75</v>
      </c>
      <c r="Q8" s="119">
        <v>0.86</v>
      </c>
      <c r="R8" s="119">
        <v>0.96</v>
      </c>
      <c r="S8" s="119">
        <v>0.78</v>
      </c>
      <c r="T8" s="119">
        <v>0.97</v>
      </c>
      <c r="U8" s="197"/>
    </row>
    <row r="9" spans="1:21" ht="17.25" x14ac:dyDescent="0.25">
      <c r="A9" s="207" t="s">
        <v>26</v>
      </c>
      <c r="B9" s="244">
        <v>0.92298136645962736</v>
      </c>
      <c r="C9" s="245">
        <v>0.71029411764705885</v>
      </c>
      <c r="D9" s="258">
        <v>0.88</v>
      </c>
      <c r="E9" s="256">
        <v>1.6655562958027982E-2</v>
      </c>
      <c r="F9" s="244">
        <v>0.87836257309941523</v>
      </c>
      <c r="G9" s="186"/>
      <c r="H9" s="182">
        <v>0.15863118973392301</v>
      </c>
      <c r="I9" s="177">
        <v>8.4390632929746967E-2</v>
      </c>
      <c r="J9" s="245">
        <v>0.98172124904798175</v>
      </c>
      <c r="K9" s="245">
        <v>0.62909367859862908</v>
      </c>
      <c r="L9" s="244">
        <v>0.94840294840294836</v>
      </c>
      <c r="M9" s="168">
        <v>0.96219931271477666</v>
      </c>
      <c r="N9" s="255">
        <v>0.92660550458715596</v>
      </c>
      <c r="O9" s="246">
        <v>0.84552845528455289</v>
      </c>
      <c r="P9" s="246">
        <v>0.69387755102040816</v>
      </c>
      <c r="Q9" s="245">
        <v>0.7142857142857143</v>
      </c>
      <c r="R9" s="245">
        <v>0.66666666666666663</v>
      </c>
      <c r="S9" s="245">
        <v>0.5</v>
      </c>
      <c r="T9" s="168">
        <v>1</v>
      </c>
      <c r="U9" s="197"/>
    </row>
    <row r="10" spans="1:21" x14ac:dyDescent="0.25">
      <c r="A10" s="208" t="s">
        <v>27</v>
      </c>
      <c r="B10" s="244">
        <v>0.90123456790123457</v>
      </c>
      <c r="C10" s="245">
        <v>0.67663043478260865</v>
      </c>
      <c r="D10" s="258">
        <v>0.72916666666666663</v>
      </c>
      <c r="E10" s="256">
        <v>1.2755102040816327E-2</v>
      </c>
      <c r="F10" s="244">
        <v>0.93181818181818177</v>
      </c>
      <c r="G10" s="186"/>
      <c r="H10" s="182">
        <v>0.22144378047942853</v>
      </c>
      <c r="I10" s="177">
        <v>0.14286695514801842</v>
      </c>
      <c r="J10" s="245">
        <v>0.99365079365079367</v>
      </c>
      <c r="K10" s="245">
        <v>0.72380952380952379</v>
      </c>
      <c r="L10" s="244">
        <v>0.87969924812030076</v>
      </c>
      <c r="M10" s="168">
        <v>0.97499999999999998</v>
      </c>
      <c r="N10" s="255">
        <v>0.91249999999999998</v>
      </c>
      <c r="O10" s="246">
        <v>0.84</v>
      </c>
      <c r="P10" s="246">
        <v>0.80487804878048785</v>
      </c>
      <c r="Q10" s="245">
        <v>0.33333333333333331</v>
      </c>
      <c r="R10" s="245">
        <v>1</v>
      </c>
      <c r="S10" s="246">
        <v>0</v>
      </c>
      <c r="T10" s="168">
        <v>1</v>
      </c>
      <c r="U10" s="197"/>
    </row>
    <row r="11" spans="1:21" ht="15" customHeight="1" x14ac:dyDescent="0.25">
      <c r="A11" s="209" t="s">
        <v>28</v>
      </c>
      <c r="B11" s="210"/>
      <c r="C11" s="210"/>
      <c r="D11" s="210"/>
      <c r="E11" s="210"/>
      <c r="F11" s="210"/>
      <c r="G11" s="210"/>
      <c r="H11" s="218"/>
      <c r="I11" s="218"/>
      <c r="J11" s="210"/>
      <c r="K11" s="210"/>
      <c r="L11" s="210"/>
      <c r="M11" s="210"/>
      <c r="N11" s="210"/>
      <c r="O11" s="218"/>
      <c r="P11" s="218"/>
      <c r="Q11" s="211"/>
      <c r="R11" s="210"/>
      <c r="S11" s="211"/>
      <c r="T11" s="210"/>
      <c r="U11" s="212"/>
    </row>
    <row r="12" spans="1:21" ht="15" customHeight="1" x14ac:dyDescent="0.25">
      <c r="A12" s="213" t="s">
        <v>29</v>
      </c>
      <c r="B12" s="210"/>
      <c r="C12" s="210"/>
      <c r="D12" s="210"/>
      <c r="E12" s="210"/>
      <c r="F12" s="210"/>
      <c r="G12" s="210"/>
      <c r="H12" s="218"/>
      <c r="I12" s="218"/>
      <c r="J12" s="210"/>
      <c r="K12" s="210"/>
      <c r="L12" s="210"/>
      <c r="M12" s="210"/>
      <c r="N12" s="210"/>
      <c r="O12" s="218"/>
      <c r="P12" s="218"/>
      <c r="Q12" s="214"/>
      <c r="R12" s="210"/>
      <c r="S12" s="211"/>
      <c r="T12" s="210"/>
      <c r="U12" s="212"/>
    </row>
    <row r="13" spans="1:21" ht="15" customHeight="1" x14ac:dyDescent="0.25">
      <c r="A13" s="208" t="s">
        <v>30</v>
      </c>
      <c r="B13" s="244">
        <v>0.95238095238095233</v>
      </c>
      <c r="C13" s="245">
        <v>0.68656716417910446</v>
      </c>
      <c r="D13" s="258">
        <v>0.81818181818181823</v>
      </c>
      <c r="E13" s="256">
        <v>2.7397260273972601E-2</v>
      </c>
      <c r="F13" s="244">
        <v>0.87341772151898733</v>
      </c>
      <c r="G13" s="186"/>
      <c r="H13" s="182">
        <v>0.13656923301395846</v>
      </c>
      <c r="I13" s="177">
        <v>3.0348718447546327E-2</v>
      </c>
      <c r="J13" s="245">
        <v>0.9932432432432432</v>
      </c>
      <c r="K13" s="245">
        <v>0.8716216216216216</v>
      </c>
      <c r="L13" s="244">
        <v>1</v>
      </c>
      <c r="M13" s="168">
        <v>1</v>
      </c>
      <c r="N13" s="255">
        <v>0.953125</v>
      </c>
      <c r="O13" s="246">
        <v>0.93181818181818177</v>
      </c>
      <c r="P13" s="246">
        <v>0.7857142857142857</v>
      </c>
      <c r="Q13" s="245">
        <v>1</v>
      </c>
      <c r="R13" s="168"/>
      <c r="S13" s="245"/>
      <c r="T13" s="245"/>
      <c r="U13" s="197"/>
    </row>
    <row r="14" spans="1:21" ht="15" customHeight="1" x14ac:dyDescent="0.25">
      <c r="A14" s="209" t="s">
        <v>28</v>
      </c>
      <c r="B14" s="210"/>
      <c r="C14" s="210"/>
      <c r="D14" s="210"/>
      <c r="E14" s="210"/>
      <c r="F14" s="215"/>
      <c r="G14" s="210"/>
      <c r="H14" s="219"/>
      <c r="I14" s="247"/>
      <c r="J14" s="210"/>
      <c r="K14" s="210"/>
      <c r="L14" s="210"/>
      <c r="M14" s="210"/>
      <c r="N14" s="210"/>
      <c r="O14" s="218"/>
      <c r="P14" s="218"/>
      <c r="Q14" s="210"/>
      <c r="R14" s="210"/>
      <c r="S14" s="216"/>
      <c r="T14" s="210"/>
      <c r="U14" s="212"/>
    </row>
    <row r="15" spans="1:21" ht="15" customHeight="1" x14ac:dyDescent="0.25">
      <c r="A15" s="217" t="s">
        <v>29</v>
      </c>
      <c r="B15" s="218"/>
      <c r="C15" s="218"/>
      <c r="D15" s="218"/>
      <c r="E15" s="218"/>
      <c r="F15" s="219"/>
      <c r="G15" s="218"/>
      <c r="H15" s="218"/>
      <c r="I15" s="220"/>
      <c r="J15" s="218"/>
      <c r="K15" s="218"/>
      <c r="L15" s="218"/>
      <c r="M15" s="218"/>
      <c r="N15" s="218"/>
      <c r="O15" s="218"/>
      <c r="P15" s="218"/>
      <c r="Q15" s="218"/>
      <c r="R15" s="218"/>
      <c r="S15" s="221"/>
      <c r="T15" s="218"/>
      <c r="U15" s="197"/>
    </row>
    <row r="16" spans="1:21" ht="15" customHeight="1" x14ac:dyDescent="0.25">
      <c r="A16" s="208" t="s">
        <v>31</v>
      </c>
      <c r="B16" s="244">
        <v>0.94399999999999995</v>
      </c>
      <c r="C16" s="245">
        <v>0.71186440677966101</v>
      </c>
      <c r="D16" s="258">
        <v>1</v>
      </c>
      <c r="E16" s="256">
        <v>4.2704626334519574E-2</v>
      </c>
      <c r="F16" s="244">
        <v>0.76063829787234039</v>
      </c>
      <c r="G16" s="186"/>
      <c r="H16" s="182">
        <v>0.13078470824949698</v>
      </c>
      <c r="I16" s="177">
        <v>1.3078470824949699E-2</v>
      </c>
      <c r="J16" s="245">
        <v>0.94166666666666665</v>
      </c>
      <c r="K16" s="245">
        <v>0.32916666666666666</v>
      </c>
      <c r="L16" s="244">
        <v>0.98571428571428577</v>
      </c>
      <c r="M16" s="168">
        <v>1</v>
      </c>
      <c r="N16" s="255">
        <v>0.89247311827956988</v>
      </c>
      <c r="O16" s="246">
        <v>0.65714285714285714</v>
      </c>
      <c r="P16" s="246">
        <v>0.6</v>
      </c>
      <c r="Q16" s="245">
        <v>1</v>
      </c>
      <c r="R16" s="245"/>
      <c r="S16" s="245"/>
      <c r="T16" s="245"/>
      <c r="U16" s="197"/>
    </row>
    <row r="17" spans="1:21" ht="15" customHeight="1" x14ac:dyDescent="0.25">
      <c r="A17" s="209" t="s">
        <v>28</v>
      </c>
      <c r="B17" s="222"/>
      <c r="C17" s="223"/>
      <c r="D17" s="223"/>
      <c r="E17" s="223"/>
      <c r="F17" s="222"/>
      <c r="G17" s="222"/>
      <c r="H17" s="248"/>
      <c r="I17" s="249"/>
      <c r="J17" s="224"/>
      <c r="K17" s="224"/>
      <c r="L17" s="222"/>
      <c r="M17" s="223"/>
      <c r="N17" s="223"/>
      <c r="O17" s="252"/>
      <c r="P17" s="252"/>
      <c r="Q17" s="226"/>
      <c r="R17" s="222"/>
      <c r="S17" s="226"/>
      <c r="T17" s="222"/>
      <c r="U17" s="212"/>
    </row>
    <row r="18" spans="1:21" ht="15" customHeight="1" x14ac:dyDescent="0.25">
      <c r="A18" s="213" t="s">
        <v>29</v>
      </c>
      <c r="B18" s="222"/>
      <c r="C18" s="223"/>
      <c r="D18" s="223"/>
      <c r="E18" s="223"/>
      <c r="F18" s="222"/>
      <c r="G18" s="222"/>
      <c r="H18" s="248"/>
      <c r="I18" s="249"/>
      <c r="J18" s="224"/>
      <c r="K18" s="224"/>
      <c r="L18" s="222"/>
      <c r="M18" s="223"/>
      <c r="N18" s="224"/>
      <c r="O18" s="221"/>
      <c r="P18" s="221"/>
      <c r="Q18" s="226"/>
      <c r="R18" s="222"/>
      <c r="S18" s="222"/>
      <c r="T18" s="222"/>
      <c r="U18" s="212"/>
    </row>
    <row r="19" spans="1:21" ht="15" customHeight="1" x14ac:dyDescent="0.25">
      <c r="A19" s="208" t="s">
        <v>32</v>
      </c>
      <c r="B19" s="244">
        <v>1</v>
      </c>
      <c r="C19" s="245">
        <v>0.875</v>
      </c>
      <c r="D19" s="258">
        <v>0.90909090909090906</v>
      </c>
      <c r="E19" s="256">
        <v>1.6129032258064516E-2</v>
      </c>
      <c r="F19" s="244">
        <v>0.89189189189189189</v>
      </c>
      <c r="G19" s="186"/>
      <c r="H19" s="182">
        <v>0.13591540929072116</v>
      </c>
      <c r="I19" s="177">
        <v>0.17916122133776879</v>
      </c>
      <c r="J19" s="245">
        <v>0.9452054794520548</v>
      </c>
      <c r="K19" s="245">
        <v>0.8904109589041096</v>
      </c>
      <c r="L19" s="244">
        <v>0.8571428571428571</v>
      </c>
      <c r="M19" s="168">
        <v>1</v>
      </c>
      <c r="N19" s="255">
        <v>0.91666666666666663</v>
      </c>
      <c r="O19" s="246">
        <v>0.8</v>
      </c>
      <c r="P19" s="246">
        <v>0</v>
      </c>
      <c r="Q19" s="245"/>
      <c r="R19" s="246">
        <v>0</v>
      </c>
      <c r="S19" s="168">
        <v>1</v>
      </c>
      <c r="T19" s="168">
        <v>1</v>
      </c>
      <c r="U19" s="197"/>
    </row>
    <row r="20" spans="1:21" ht="15" customHeight="1" x14ac:dyDescent="0.25">
      <c r="A20" s="227" t="s">
        <v>28</v>
      </c>
      <c r="B20" s="228"/>
      <c r="C20" s="229"/>
      <c r="D20" s="229"/>
      <c r="E20" s="229"/>
      <c r="F20" s="228"/>
      <c r="G20" s="228"/>
      <c r="H20" s="228"/>
      <c r="I20" s="230"/>
      <c r="J20" s="228"/>
      <c r="K20" s="228"/>
      <c r="L20" s="228"/>
      <c r="M20" s="229"/>
      <c r="N20" s="228"/>
      <c r="O20" s="231"/>
      <c r="P20" s="231"/>
      <c r="Q20" s="228"/>
      <c r="R20" s="228"/>
      <c r="S20" s="228"/>
      <c r="T20" s="228"/>
      <c r="U20" s="197"/>
    </row>
    <row r="21" spans="1:21" ht="15" customHeight="1" x14ac:dyDescent="0.25">
      <c r="A21" s="213" t="s">
        <v>29</v>
      </c>
      <c r="B21" s="232"/>
      <c r="C21" s="223"/>
      <c r="D21" s="223"/>
      <c r="E21" s="223"/>
      <c r="F21" s="232"/>
      <c r="G21" s="222"/>
      <c r="H21" s="250"/>
      <c r="I21" s="251"/>
      <c r="J21" s="222"/>
      <c r="K21" s="222"/>
      <c r="L21" s="222"/>
      <c r="M21" s="223"/>
      <c r="N21" s="232"/>
      <c r="O21" s="225"/>
      <c r="P21" s="225"/>
      <c r="Q21" s="222"/>
      <c r="R21" s="222"/>
      <c r="S21" s="222"/>
      <c r="T21" s="222"/>
      <c r="U21" s="212"/>
    </row>
    <row r="22" spans="1:21" ht="15" customHeight="1" x14ac:dyDescent="0.25">
      <c r="A22" s="208" t="s">
        <v>33</v>
      </c>
      <c r="B22" s="244">
        <v>0.95121951219512191</v>
      </c>
      <c r="C22" s="245">
        <v>0.87272727272727268</v>
      </c>
      <c r="D22" s="258">
        <v>1</v>
      </c>
      <c r="E22" s="256">
        <v>5.5865921787709499E-3</v>
      </c>
      <c r="F22" s="244">
        <v>0.95454545454545459</v>
      </c>
      <c r="G22" s="186"/>
      <c r="H22" s="182">
        <v>0.2082975679542203</v>
      </c>
      <c r="I22" s="177">
        <v>1.239866475917978E-2</v>
      </c>
      <c r="J22" s="245">
        <v>0.97972972972972971</v>
      </c>
      <c r="K22" s="245">
        <v>0.92567567567567566</v>
      </c>
      <c r="L22" s="244">
        <v>0.97777777777777775</v>
      </c>
      <c r="M22" s="168">
        <v>1</v>
      </c>
      <c r="N22" s="255">
        <v>0.92307692307692313</v>
      </c>
      <c r="O22" s="246">
        <v>0.97058823529411764</v>
      </c>
      <c r="P22" s="246">
        <v>0.77419354838709675</v>
      </c>
      <c r="Q22" s="245">
        <v>1</v>
      </c>
      <c r="R22" s="245"/>
      <c r="S22" s="245"/>
      <c r="T22" s="245"/>
      <c r="U22" s="197"/>
    </row>
    <row r="23" spans="1:21" ht="15" customHeight="1" x14ac:dyDescent="0.25">
      <c r="A23" s="227" t="s">
        <v>28</v>
      </c>
      <c r="B23" s="228"/>
      <c r="C23" s="229"/>
      <c r="D23" s="229"/>
      <c r="E23" s="229"/>
      <c r="F23" s="228"/>
      <c r="G23" s="228"/>
      <c r="H23" s="228"/>
      <c r="I23" s="230"/>
      <c r="J23" s="228"/>
      <c r="K23" s="228"/>
      <c r="L23" s="228"/>
      <c r="M23" s="229"/>
      <c r="N23" s="228"/>
      <c r="O23" s="231"/>
      <c r="P23" s="231"/>
      <c r="Q23" s="233"/>
      <c r="R23" s="228"/>
      <c r="S23" s="228"/>
      <c r="T23" s="228"/>
      <c r="U23" s="197"/>
    </row>
    <row r="24" spans="1:21" ht="15" customHeight="1" x14ac:dyDescent="0.25">
      <c r="A24" s="217" t="s">
        <v>29</v>
      </c>
      <c r="B24" s="228"/>
      <c r="C24" s="229"/>
      <c r="D24" s="229"/>
      <c r="E24" s="229"/>
      <c r="F24" s="228"/>
      <c r="G24" s="228"/>
      <c r="H24" s="234"/>
      <c r="I24" s="230"/>
      <c r="J24" s="228"/>
      <c r="K24" s="228"/>
      <c r="L24" s="228"/>
      <c r="M24" s="229"/>
      <c r="N24" s="228"/>
      <c r="O24" s="231"/>
      <c r="P24" s="231"/>
      <c r="Q24" s="233"/>
      <c r="R24" s="228"/>
      <c r="S24" s="228"/>
      <c r="T24" s="228"/>
      <c r="U24" s="197"/>
    </row>
    <row r="25" spans="1:21" ht="15" customHeight="1" x14ac:dyDescent="0.25">
      <c r="A25" s="208" t="s">
        <v>34</v>
      </c>
      <c r="B25" s="244">
        <v>0.89447236180904521</v>
      </c>
      <c r="C25" s="245">
        <v>0.65835411471321692</v>
      </c>
      <c r="D25" s="258">
        <v>0.94444444444444442</v>
      </c>
      <c r="E25" s="256">
        <v>4.5351473922902496E-3</v>
      </c>
      <c r="F25" s="244">
        <v>0.8868778280542986</v>
      </c>
      <c r="G25" s="186"/>
      <c r="H25" s="182">
        <v>0.11678669537456382</v>
      </c>
      <c r="I25" s="177">
        <v>0.1129259781720989</v>
      </c>
      <c r="J25" s="245">
        <v>1</v>
      </c>
      <c r="K25" s="245">
        <v>0.48329048843187661</v>
      </c>
      <c r="L25" s="244">
        <v>0.99056603773584906</v>
      </c>
      <c r="M25" s="168">
        <v>0.93162393162393164</v>
      </c>
      <c r="N25" s="255">
        <v>0.96899224806201545</v>
      </c>
      <c r="O25" s="246">
        <v>0.83561643835616439</v>
      </c>
      <c r="P25" s="246">
        <v>0.6333333333333333</v>
      </c>
      <c r="Q25" s="245">
        <v>0.7142857142857143</v>
      </c>
      <c r="R25" s="245">
        <v>1</v>
      </c>
      <c r="S25" s="245"/>
      <c r="T25" s="245"/>
      <c r="U25" s="197"/>
    </row>
    <row r="26" spans="1:21" ht="12.75" customHeight="1" x14ac:dyDescent="0.25">
      <c r="A26" s="209" t="s">
        <v>28</v>
      </c>
      <c r="B26" s="222"/>
      <c r="C26" s="223"/>
      <c r="D26" s="223"/>
      <c r="E26" s="223"/>
      <c r="F26" s="222"/>
      <c r="G26" s="222"/>
      <c r="H26" s="248"/>
      <c r="I26" s="235"/>
      <c r="J26" s="222"/>
      <c r="K26" s="222"/>
      <c r="L26" s="222"/>
      <c r="M26" s="223"/>
      <c r="N26" s="222"/>
      <c r="O26" s="225"/>
      <c r="P26" s="236"/>
      <c r="Q26" s="226"/>
      <c r="R26" s="222"/>
      <c r="S26" s="222"/>
      <c r="T26" s="222"/>
      <c r="U26" s="212"/>
    </row>
    <row r="27" spans="1:21" ht="15" customHeight="1" x14ac:dyDescent="0.25">
      <c r="A27" s="237" t="s">
        <v>29</v>
      </c>
      <c r="B27" s="238"/>
      <c r="C27" s="239"/>
      <c r="D27" s="239"/>
      <c r="E27" s="239"/>
      <c r="F27" s="238"/>
      <c r="G27" s="238"/>
      <c r="H27" s="238"/>
      <c r="I27" s="241"/>
      <c r="J27" s="238"/>
      <c r="K27" s="238"/>
      <c r="L27" s="238"/>
      <c r="M27" s="239"/>
      <c r="N27" s="238"/>
      <c r="O27" s="240"/>
      <c r="P27" s="241"/>
      <c r="Q27" s="242"/>
      <c r="R27" s="238"/>
      <c r="S27" s="238"/>
      <c r="T27" s="238"/>
      <c r="U27" s="212"/>
    </row>
    <row r="28" spans="1:21" x14ac:dyDescent="0.25">
      <c r="A28" s="197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</row>
  </sheetData>
  <conditionalFormatting sqref="B9:B10">
    <cfRule type="cellIs" dxfId="1803" priority="392" operator="greaterThanOrEqual">
      <formula>0.95</formula>
    </cfRule>
    <cfRule type="cellIs" dxfId="1802" priority="393" operator="lessThan">
      <formula>0.95</formula>
    </cfRule>
    <cfRule type="containsBlanks" priority="391">
      <formula>LEN(TRIM(B9))=0</formula>
    </cfRule>
  </conditionalFormatting>
  <conditionalFormatting sqref="B13">
    <cfRule type="cellIs" dxfId="1801" priority="315" operator="lessThan">
      <formula>0.95</formula>
    </cfRule>
    <cfRule type="cellIs" dxfId="1800" priority="314" operator="greaterThanOrEqual">
      <formula>0.95</formula>
    </cfRule>
    <cfRule type="containsBlanks" priority="313">
      <formula>LEN(TRIM(B13))=0</formula>
    </cfRule>
  </conditionalFormatting>
  <conditionalFormatting sqref="B16">
    <cfRule type="cellIs" dxfId="1799" priority="256" operator="greaterThanOrEqual">
      <formula>0.95</formula>
    </cfRule>
    <cfRule type="containsBlanks" priority="255">
      <formula>LEN(TRIM(B16))=0</formula>
    </cfRule>
    <cfRule type="cellIs" dxfId="1798" priority="257" operator="lessThan">
      <formula>0.95</formula>
    </cfRule>
  </conditionalFormatting>
  <conditionalFormatting sqref="B19">
    <cfRule type="cellIs" dxfId="1797" priority="196" operator="lessThan">
      <formula>0.95</formula>
    </cfRule>
    <cfRule type="cellIs" dxfId="1796" priority="195" operator="greaterThanOrEqual">
      <formula>0.95</formula>
    </cfRule>
    <cfRule type="containsBlanks" priority="194">
      <formula>LEN(TRIM(B19))=0</formula>
    </cfRule>
  </conditionalFormatting>
  <conditionalFormatting sqref="B22">
    <cfRule type="cellIs" dxfId="1795" priority="124" operator="lessThan">
      <formula>0.95</formula>
    </cfRule>
    <cfRule type="cellIs" dxfId="1794" priority="123" operator="greaterThanOrEqual">
      <formula>0.95</formula>
    </cfRule>
    <cfRule type="containsBlanks" priority="122">
      <formula>LEN(TRIM(B22))=0</formula>
    </cfRule>
  </conditionalFormatting>
  <conditionalFormatting sqref="B25">
    <cfRule type="containsBlanks" priority="55">
      <formula>LEN(TRIM(B25))=0</formula>
    </cfRule>
    <cfRule type="cellIs" dxfId="1793" priority="56" operator="greaterThanOrEqual">
      <formula>0.95</formula>
    </cfRule>
    <cfRule type="cellIs" dxfId="1792" priority="57" operator="lessThan">
      <formula>0.95</formula>
    </cfRule>
  </conditionalFormatting>
  <conditionalFormatting sqref="C9:C10">
    <cfRule type="cellIs" dxfId="1791" priority="390" stopIfTrue="1" operator="lessThan">
      <formula>0.65</formula>
    </cfRule>
    <cfRule type="cellIs" dxfId="1790" priority="389" stopIfTrue="1" operator="greaterThanOrEqual">
      <formula>0.65</formula>
    </cfRule>
  </conditionalFormatting>
  <conditionalFormatting sqref="C13">
    <cfRule type="cellIs" dxfId="1789" priority="312" stopIfTrue="1" operator="lessThan">
      <formula>0.65</formula>
    </cfRule>
    <cfRule type="cellIs" dxfId="1788" priority="311" stopIfTrue="1" operator="greaterThanOrEqual">
      <formula>0.65</formula>
    </cfRule>
  </conditionalFormatting>
  <conditionalFormatting sqref="C16">
    <cfRule type="cellIs" dxfId="1787" priority="253" stopIfTrue="1" operator="greaterThanOrEqual">
      <formula>0.65</formula>
    </cfRule>
    <cfRule type="cellIs" dxfId="1786" priority="254" stopIfTrue="1" operator="lessThan">
      <formula>0.65</formula>
    </cfRule>
  </conditionalFormatting>
  <conditionalFormatting sqref="C19">
    <cfRule type="cellIs" dxfId="1785" priority="193" stopIfTrue="1" operator="lessThan">
      <formula>0.65</formula>
    </cfRule>
    <cfRule type="cellIs" dxfId="1784" priority="192" stopIfTrue="1" operator="greaterThanOrEqual">
      <formula>0.65</formula>
    </cfRule>
  </conditionalFormatting>
  <conditionalFormatting sqref="C22">
    <cfRule type="cellIs" dxfId="1783" priority="120" stopIfTrue="1" operator="greaterThanOrEqual">
      <formula>0.65</formula>
    </cfRule>
    <cfRule type="cellIs" dxfId="1782" priority="121" stopIfTrue="1" operator="lessThan">
      <formula>0.65</formula>
    </cfRule>
  </conditionalFormatting>
  <conditionalFormatting sqref="C25">
    <cfRule type="cellIs" dxfId="1781" priority="53" stopIfTrue="1" operator="greaterThanOrEqual">
      <formula>0.65</formula>
    </cfRule>
    <cfRule type="cellIs" dxfId="1780" priority="54" stopIfTrue="1" operator="lessThan">
      <formula>0.65</formula>
    </cfRule>
  </conditionalFormatting>
  <conditionalFormatting sqref="C9:E10">
    <cfRule type="containsBlanks" dxfId="1779" priority="380">
      <formula>LEN(TRIM(C9))=0</formula>
    </cfRule>
  </conditionalFormatting>
  <conditionalFormatting sqref="C13:E13">
    <cfRule type="containsBlanks" dxfId="1778" priority="302">
      <formula>LEN(TRIM(C13))=0</formula>
    </cfRule>
  </conditionalFormatting>
  <conditionalFormatting sqref="C16:E16">
    <cfRule type="containsBlanks" dxfId="1777" priority="244">
      <formula>LEN(TRIM(C16))=0</formula>
    </cfRule>
  </conditionalFormatting>
  <conditionalFormatting sqref="C19:E19">
    <cfRule type="containsBlanks" dxfId="1776" priority="183">
      <formula>LEN(TRIM(C19))=0</formula>
    </cfRule>
  </conditionalFormatting>
  <conditionalFormatting sqref="C22:E22">
    <cfRule type="containsBlanks" dxfId="1775" priority="111">
      <formula>LEN(TRIM(C22))=0</formula>
    </cfRule>
  </conditionalFormatting>
  <conditionalFormatting sqref="C25:E25">
    <cfRule type="containsBlanks" dxfId="1774" priority="44">
      <formula>LEN(TRIM(C25))=0</formula>
    </cfRule>
  </conditionalFormatting>
  <conditionalFormatting sqref="D9:D10">
    <cfRule type="cellIs" dxfId="1773" priority="386" operator="greaterThanOrEqual">
      <formula>0.9</formula>
    </cfRule>
    <cfRule type="cellIs" dxfId="1772" priority="387" operator="lessThan">
      <formula>0.9</formula>
    </cfRule>
  </conditionalFormatting>
  <conditionalFormatting sqref="D13">
    <cfRule type="cellIs" dxfId="1771" priority="309" operator="lessThan">
      <formula>0.9</formula>
    </cfRule>
    <cfRule type="cellIs" dxfId="1770" priority="308" operator="greaterThanOrEqual">
      <formula>0.9</formula>
    </cfRule>
  </conditionalFormatting>
  <conditionalFormatting sqref="D16">
    <cfRule type="cellIs" dxfId="1769" priority="251" operator="lessThan">
      <formula>0.9</formula>
    </cfRule>
    <cfRule type="cellIs" dxfId="1768" priority="250" operator="greaterThanOrEqual">
      <formula>0.9</formula>
    </cfRule>
  </conditionalFormatting>
  <conditionalFormatting sqref="D19">
    <cfRule type="cellIs" dxfId="1767" priority="189" operator="greaterThanOrEqual">
      <formula>0.9</formula>
    </cfRule>
    <cfRule type="cellIs" dxfId="1766" priority="190" operator="lessThan">
      <formula>0.9</formula>
    </cfRule>
  </conditionalFormatting>
  <conditionalFormatting sqref="D22">
    <cfRule type="cellIs" dxfId="1765" priority="117" operator="greaterThanOrEqual">
      <formula>0.9</formula>
    </cfRule>
    <cfRule type="cellIs" dxfId="1764" priority="118" operator="lessThan">
      <formula>0.9</formula>
    </cfRule>
  </conditionalFormatting>
  <conditionalFormatting sqref="D25">
    <cfRule type="cellIs" dxfId="1763" priority="50" operator="greaterThanOrEqual">
      <formula>0.9</formula>
    </cfRule>
    <cfRule type="cellIs" dxfId="1762" priority="51" operator="lessThan">
      <formula>0.9</formula>
    </cfRule>
  </conditionalFormatting>
  <conditionalFormatting sqref="E9:E10">
    <cfRule type="cellIs" dxfId="1761" priority="382" operator="greaterThanOrEqual">
      <formula>0.03</formula>
    </cfRule>
    <cfRule type="cellIs" dxfId="1760" priority="384" operator="lessThanOrEqual">
      <formula>0.03</formula>
    </cfRule>
    <cfRule type="cellIs" dxfId="1759" priority="383" operator="greaterThan">
      <formula>0.03</formula>
    </cfRule>
    <cfRule type="cellIs" dxfId="1758" priority="381" operator="lessThan">
      <formula>0.03</formula>
    </cfRule>
  </conditionalFormatting>
  <conditionalFormatting sqref="E13">
    <cfRule type="cellIs" dxfId="1757" priority="306" operator="lessThanOrEqual">
      <formula>0.03</formula>
    </cfRule>
    <cfRule type="cellIs" dxfId="1756" priority="304" operator="greaterThanOrEqual">
      <formula>0.03</formula>
    </cfRule>
    <cfRule type="cellIs" dxfId="1755" priority="305" operator="greaterThan">
      <formula>0.03</formula>
    </cfRule>
    <cfRule type="cellIs" dxfId="1754" priority="303" operator="lessThan">
      <formula>0.03</formula>
    </cfRule>
  </conditionalFormatting>
  <conditionalFormatting sqref="E16">
    <cfRule type="cellIs" dxfId="1753" priority="245" operator="lessThan">
      <formula>0.03</formula>
    </cfRule>
    <cfRule type="cellIs" dxfId="1752" priority="246" operator="greaterThanOrEqual">
      <formula>0.03</formula>
    </cfRule>
    <cfRule type="cellIs" dxfId="1751" priority="248" operator="lessThanOrEqual">
      <formula>0.03</formula>
    </cfRule>
    <cfRule type="cellIs" dxfId="1750" priority="247" operator="greaterThan">
      <formula>0.03</formula>
    </cfRule>
  </conditionalFormatting>
  <conditionalFormatting sqref="E19">
    <cfRule type="cellIs" dxfId="1749" priority="187" operator="lessThanOrEqual">
      <formula>0.03</formula>
    </cfRule>
    <cfRule type="cellIs" dxfId="1748" priority="186" operator="greaterThan">
      <formula>0.03</formula>
    </cfRule>
    <cfRule type="cellIs" dxfId="1747" priority="185" operator="greaterThanOrEqual">
      <formula>0.03</formula>
    </cfRule>
    <cfRule type="cellIs" dxfId="1746" priority="184" operator="lessThan">
      <formula>0.03</formula>
    </cfRule>
  </conditionalFormatting>
  <conditionalFormatting sqref="E22">
    <cfRule type="cellIs" dxfId="1745" priority="112" operator="lessThan">
      <formula>0.03</formula>
    </cfRule>
    <cfRule type="cellIs" dxfId="1744" priority="113" operator="greaterThanOrEqual">
      <formula>0.03</formula>
    </cfRule>
    <cfRule type="cellIs" dxfId="1743" priority="115" operator="lessThanOrEqual">
      <formula>0.03</formula>
    </cfRule>
    <cfRule type="cellIs" dxfId="1742" priority="114" operator="greaterThan">
      <formula>0.03</formula>
    </cfRule>
  </conditionalFormatting>
  <conditionalFormatting sqref="E25">
    <cfRule type="cellIs" dxfId="1741" priority="45" operator="lessThan">
      <formula>0.03</formula>
    </cfRule>
    <cfRule type="cellIs" dxfId="1740" priority="47" operator="greaterThan">
      <formula>0.03</formula>
    </cfRule>
    <cfRule type="cellIs" dxfId="1739" priority="48" operator="lessThanOrEqual">
      <formula>0.03</formula>
    </cfRule>
    <cfRule type="cellIs" dxfId="1738" priority="46" operator="greaterThanOrEqual">
      <formula>0.03</formula>
    </cfRule>
  </conditionalFormatting>
  <conditionalFormatting sqref="F9">
    <cfRule type="cellIs" dxfId="1737" priority="445" operator="lessThan">
      <formula>0.95</formula>
    </cfRule>
    <cfRule type="cellIs" dxfId="1736" priority="446" operator="greaterThanOrEqual">
      <formula>0.95</formula>
    </cfRule>
    <cfRule type="containsBlanks" dxfId="1735" priority="444">
      <formula>LEN(TRIM(F9))=0</formula>
    </cfRule>
  </conditionalFormatting>
  <conditionalFormatting sqref="F9:F10">
    <cfRule type="cellIs" dxfId="1734" priority="378" operator="greaterThanOrEqual">
      <formula>0.95</formula>
    </cfRule>
    <cfRule type="cellIs" dxfId="1733" priority="377" operator="lessThan">
      <formula>0.95</formula>
    </cfRule>
  </conditionalFormatting>
  <conditionalFormatting sqref="F10">
    <cfRule type="cellIs" dxfId="1732" priority="374" operator="lessThan">
      <formula>0.95</formula>
    </cfRule>
    <cfRule type="cellIs" dxfId="1731" priority="375" operator="greaterThanOrEqual">
      <formula>0.95</formula>
    </cfRule>
    <cfRule type="containsBlanks" dxfId="1730" priority="376">
      <formula>LEN(TRIM(F10))=0</formula>
    </cfRule>
  </conditionalFormatting>
  <conditionalFormatting sqref="F13">
    <cfRule type="cellIs" dxfId="1729" priority="296" operator="lessThan">
      <formula>0.95</formula>
    </cfRule>
    <cfRule type="cellIs" dxfId="1728" priority="297" operator="greaterThanOrEqual">
      <formula>0.95</formula>
    </cfRule>
    <cfRule type="cellIs" dxfId="1727" priority="299" operator="lessThan">
      <formula>0.95</formula>
    </cfRule>
    <cfRule type="containsBlanks" dxfId="1726" priority="298">
      <formula>LEN(TRIM(F13))=0</formula>
    </cfRule>
    <cfRule type="cellIs" dxfId="1725" priority="300" operator="greaterThanOrEqual">
      <formula>0.95</formula>
    </cfRule>
  </conditionalFormatting>
  <conditionalFormatting sqref="F16">
    <cfRule type="cellIs" dxfId="1724" priority="239" operator="greaterThanOrEqual">
      <formula>0.95</formula>
    </cfRule>
    <cfRule type="cellIs" dxfId="1723" priority="242" operator="greaterThanOrEqual">
      <formula>0.95</formula>
    </cfRule>
    <cfRule type="cellIs" dxfId="1722" priority="241" operator="lessThan">
      <formula>0.95</formula>
    </cfRule>
    <cfRule type="cellIs" dxfId="1721" priority="238" operator="lessThan">
      <formula>0.95</formula>
    </cfRule>
    <cfRule type="containsBlanks" dxfId="1720" priority="240">
      <formula>LEN(TRIM(F16))=0</formula>
    </cfRule>
  </conditionalFormatting>
  <conditionalFormatting sqref="F19">
    <cfRule type="cellIs" dxfId="1719" priority="178" operator="greaterThanOrEqual">
      <formula>0.95</formula>
    </cfRule>
    <cfRule type="cellIs" dxfId="1718" priority="180" operator="lessThan">
      <formula>0.95</formula>
    </cfRule>
    <cfRule type="cellIs" dxfId="1717" priority="181" operator="greaterThanOrEqual">
      <formula>0.95</formula>
    </cfRule>
    <cfRule type="containsBlanks" dxfId="1716" priority="179">
      <formula>LEN(TRIM(F19))=0</formula>
    </cfRule>
    <cfRule type="cellIs" dxfId="1715" priority="177" operator="lessThan">
      <formula>0.95</formula>
    </cfRule>
  </conditionalFormatting>
  <conditionalFormatting sqref="F22">
    <cfRule type="cellIs" dxfId="1714" priority="109" operator="greaterThanOrEqual">
      <formula>0.95</formula>
    </cfRule>
    <cfRule type="cellIs" dxfId="1713" priority="105" operator="lessThan">
      <formula>0.95</formula>
    </cfRule>
    <cfRule type="cellIs" dxfId="1712" priority="106" operator="greaterThanOrEqual">
      <formula>0.95</formula>
    </cfRule>
    <cfRule type="cellIs" dxfId="1711" priority="108" operator="lessThan">
      <formula>0.95</formula>
    </cfRule>
    <cfRule type="containsBlanks" dxfId="1710" priority="107">
      <formula>LEN(TRIM(F22))=0</formula>
    </cfRule>
  </conditionalFormatting>
  <conditionalFormatting sqref="F25">
    <cfRule type="cellIs" dxfId="1709" priority="41" operator="lessThan">
      <formula>0.95</formula>
    </cfRule>
    <cfRule type="cellIs" dxfId="1708" priority="39" operator="greaterThanOrEqual">
      <formula>0.95</formula>
    </cfRule>
    <cfRule type="containsBlanks" dxfId="1707" priority="40">
      <formula>LEN(TRIM(F25))=0</formula>
    </cfRule>
    <cfRule type="cellIs" dxfId="1706" priority="38" operator="lessThan">
      <formula>0.95</formula>
    </cfRule>
    <cfRule type="cellIs" dxfId="1705" priority="42" operator="greaterThanOrEqual">
      <formula>0.95</formula>
    </cfRule>
  </conditionalFormatting>
  <conditionalFormatting sqref="F9:G9">
    <cfRule type="cellIs" dxfId="1704" priority="447" operator="equal">
      <formula>"-"</formula>
    </cfRule>
  </conditionalFormatting>
  <conditionalFormatting sqref="F10:G10">
    <cfRule type="cellIs" dxfId="1703" priority="379" operator="equal">
      <formula>"-"</formula>
    </cfRule>
  </conditionalFormatting>
  <conditionalFormatting sqref="F13:G13">
    <cfRule type="cellIs" dxfId="1702" priority="301" operator="equal">
      <formula>"-"</formula>
    </cfRule>
  </conditionalFormatting>
  <conditionalFormatting sqref="F16:G16">
    <cfRule type="cellIs" dxfId="1701" priority="243" operator="equal">
      <formula>"-"</formula>
    </cfRule>
  </conditionalFormatting>
  <conditionalFormatting sqref="F19:G19">
    <cfRule type="cellIs" dxfId="1700" priority="182" operator="equal">
      <formula>"-"</formula>
    </cfRule>
  </conditionalFormatting>
  <conditionalFormatting sqref="F22:G22">
    <cfRule type="cellIs" dxfId="1699" priority="110" operator="equal">
      <formula>"-"</formula>
    </cfRule>
  </conditionalFormatting>
  <conditionalFormatting sqref="F25:G25">
    <cfRule type="cellIs" dxfId="1698" priority="43" operator="equal">
      <formula>"-"</formula>
    </cfRule>
  </conditionalFormatting>
  <conditionalFormatting sqref="G9">
    <cfRule type="containsBlanks" dxfId="1697" priority="463">
      <formula>LEN(TRIM(G9))=0</formula>
    </cfRule>
    <cfRule type="cellIs" dxfId="1696" priority="464" operator="greaterThan">
      <formula>0.7</formula>
    </cfRule>
    <cfRule type="cellIs" dxfId="1695" priority="465" operator="lessThanOrEqual">
      <formula>0.7</formula>
    </cfRule>
  </conditionalFormatting>
  <conditionalFormatting sqref="G10">
    <cfRule type="containsBlanks" dxfId="1694" priority="395">
      <formula>LEN(TRIM(G10))=0</formula>
    </cfRule>
    <cfRule type="cellIs" dxfId="1693" priority="396" operator="greaterThan">
      <formula>0.7</formula>
    </cfRule>
    <cfRule type="cellIs" dxfId="1692" priority="397" operator="lessThanOrEqual">
      <formula>0.7</formula>
    </cfRule>
  </conditionalFormatting>
  <conditionalFormatting sqref="G13">
    <cfRule type="containsBlanks" dxfId="1691" priority="327">
      <formula>LEN(TRIM(G13))=0</formula>
    </cfRule>
    <cfRule type="cellIs" dxfId="1690" priority="329" operator="lessThanOrEqual">
      <formula>0.7</formula>
    </cfRule>
    <cfRule type="cellIs" dxfId="1689" priority="328" operator="greaterThan">
      <formula>0.7</formula>
    </cfRule>
  </conditionalFormatting>
  <conditionalFormatting sqref="G16">
    <cfRule type="cellIs" dxfId="1688" priority="260" operator="greaterThan">
      <formula>0.7</formula>
    </cfRule>
    <cfRule type="cellIs" dxfId="1687" priority="261" operator="lessThanOrEqual">
      <formula>0.7</formula>
    </cfRule>
    <cfRule type="containsBlanks" dxfId="1686" priority="259">
      <formula>LEN(TRIM(G16))=0</formula>
    </cfRule>
  </conditionalFormatting>
  <conditionalFormatting sqref="G19">
    <cfRule type="containsBlanks" dxfId="1685" priority="201">
      <formula>LEN(TRIM(G19))=0</formula>
    </cfRule>
    <cfRule type="cellIs" dxfId="1684" priority="202" operator="greaterThan">
      <formula>0.7</formula>
    </cfRule>
    <cfRule type="cellIs" dxfId="1683" priority="203" operator="lessThanOrEqual">
      <formula>0.7</formula>
    </cfRule>
  </conditionalFormatting>
  <conditionalFormatting sqref="G22">
    <cfRule type="cellIs" dxfId="1682" priority="134" operator="lessThanOrEqual">
      <formula>0.7</formula>
    </cfRule>
    <cfRule type="containsBlanks" dxfId="1681" priority="132">
      <formula>LEN(TRIM(G22))=0</formula>
    </cfRule>
    <cfRule type="cellIs" dxfId="1680" priority="133" operator="greaterThan">
      <formula>0.7</formula>
    </cfRule>
  </conditionalFormatting>
  <conditionalFormatting sqref="G25">
    <cfRule type="containsBlanks" dxfId="1679" priority="65">
      <formula>LEN(TRIM(G25))=0</formula>
    </cfRule>
    <cfRule type="cellIs" dxfId="1678" priority="66" operator="greaterThan">
      <formula>0.7</formula>
    </cfRule>
    <cfRule type="cellIs" dxfId="1677" priority="67" operator="lessThanOrEqual">
      <formula>0.7</formula>
    </cfRule>
  </conditionalFormatting>
  <conditionalFormatting sqref="H9">
    <cfRule type="containsBlanks" dxfId="1676" priority="439">
      <formula>LEN(TRIM(H9))=0</formula>
    </cfRule>
    <cfRule type="cellIs" dxfId="1675" priority="440" operator="greaterThan">
      <formula>0.29</formula>
    </cfRule>
    <cfRule type="cellIs" dxfId="1674" priority="441" operator="lessThanOrEqual">
      <formula>0.29</formula>
    </cfRule>
  </conditionalFormatting>
  <conditionalFormatting sqref="H10">
    <cfRule type="containsBlanks" dxfId="1673" priority="373">
      <formula>LEN(TRIM(H10))=0</formula>
    </cfRule>
    <cfRule type="cellIs" dxfId="1672" priority="372" operator="equal">
      <formula>"-"</formula>
    </cfRule>
    <cfRule type="cellIs" dxfId="1671" priority="371" operator="lessThanOrEqual">
      <formula>0.285</formula>
    </cfRule>
    <cfRule type="cellIs" dxfId="1670" priority="370" operator="greaterThan">
      <formula>0.285</formula>
    </cfRule>
  </conditionalFormatting>
  <conditionalFormatting sqref="H13">
    <cfRule type="containsBlanks" dxfId="1669" priority="293">
      <formula>LEN(TRIM(H13))=0</formula>
    </cfRule>
    <cfRule type="cellIs" dxfId="1668" priority="294" operator="greaterThan">
      <formula>0.31025</formula>
    </cfRule>
    <cfRule type="cellIs" dxfId="1667" priority="295" operator="lessThanOrEqual">
      <formula>0.31025</formula>
    </cfRule>
    <cfRule type="cellIs" dxfId="1666" priority="292" operator="equal">
      <formula>"-"</formula>
    </cfRule>
  </conditionalFormatting>
  <conditionalFormatting sqref="H16">
    <cfRule type="cellIs" dxfId="1665" priority="234" operator="greaterThan">
      <formula>0.187</formula>
    </cfRule>
    <cfRule type="containsBlanks" dxfId="1664" priority="237">
      <formula>LEN(TRIM(H16))=0</formula>
    </cfRule>
    <cfRule type="cellIs" dxfId="1663" priority="236" operator="equal">
      <formula>"-"</formula>
    </cfRule>
    <cfRule type="cellIs" dxfId="1662" priority="235" operator="lessThanOrEqual">
      <formula>0.187</formula>
    </cfRule>
  </conditionalFormatting>
  <conditionalFormatting sqref="H19">
    <cfRule type="cellIs" dxfId="1661" priority="175" operator="equal">
      <formula>"-"</formula>
    </cfRule>
    <cfRule type="cellIs" dxfId="1660" priority="173" operator="greaterThan">
      <formula>0.444</formula>
    </cfRule>
    <cfRule type="cellIs" dxfId="1659" priority="174" operator="lessThanOrEqual">
      <formula>0.444</formula>
    </cfRule>
    <cfRule type="containsBlanks" dxfId="1658" priority="176">
      <formula>LEN(TRIM(H19))=0</formula>
    </cfRule>
  </conditionalFormatting>
  <conditionalFormatting sqref="H22">
    <cfRule type="cellIs" dxfId="1657" priority="102" operator="lessThanOrEqual">
      <formula>0.296</formula>
    </cfRule>
    <cfRule type="cellIs" dxfId="1656" priority="103" operator="equal">
      <formula>"-"</formula>
    </cfRule>
    <cfRule type="containsBlanks" dxfId="1655" priority="104">
      <formula>LEN(TRIM(H22))=0</formula>
    </cfRule>
    <cfRule type="cellIs" dxfId="1654" priority="101" operator="greaterThan">
      <formula>0.296</formula>
    </cfRule>
  </conditionalFormatting>
  <conditionalFormatting sqref="H25">
    <cfRule type="cellIs" dxfId="1653" priority="36" operator="equal">
      <formula>"-"</formula>
    </cfRule>
    <cfRule type="cellIs" dxfId="1652" priority="35" operator="lessThanOrEqual">
      <formula>0.23</formula>
    </cfRule>
    <cfRule type="cellIs" dxfId="1651" priority="34" operator="greaterThan">
      <formula>0.23</formula>
    </cfRule>
    <cfRule type="containsBlanks" dxfId="1650" priority="37">
      <formula>LEN(TRIM(H25))=0</formula>
    </cfRule>
  </conditionalFormatting>
  <conditionalFormatting sqref="H9:I9">
    <cfRule type="cellIs" dxfId="1649" priority="437" operator="equal">
      <formula>"-"</formula>
    </cfRule>
  </conditionalFormatting>
  <conditionalFormatting sqref="I9">
    <cfRule type="cellIs" dxfId="1648" priority="434" operator="greaterThan">
      <formula>0.0443</formula>
    </cfRule>
    <cfRule type="cellIs" dxfId="1647" priority="435" operator="lessThanOrEqual">
      <formula>0.0443</formula>
    </cfRule>
    <cfRule type="containsBlanks" dxfId="1646" priority="436">
      <formula>LEN(TRIM(I9))=0</formula>
    </cfRule>
  </conditionalFormatting>
  <conditionalFormatting sqref="I10">
    <cfRule type="cellIs" dxfId="1645" priority="367" operator="lessThanOrEqual">
      <formula>0.0368</formula>
    </cfRule>
    <cfRule type="containsBlanks" dxfId="1644" priority="368">
      <formula>LEN(TRIM(I10))=0</formula>
    </cfRule>
    <cfRule type="cellIs" dxfId="1643" priority="369" operator="equal">
      <formula>"-"</formula>
    </cfRule>
    <cfRule type="cellIs" dxfId="1642" priority="366" operator="greaterThan">
      <formula>0.0368</formula>
    </cfRule>
  </conditionalFormatting>
  <conditionalFormatting sqref="I13">
    <cfRule type="cellIs" dxfId="1641" priority="289" operator="lessThanOrEqual">
      <formula>0.0368</formula>
    </cfRule>
    <cfRule type="cellIs" dxfId="1640" priority="288" operator="greaterThan">
      <formula>0.0368</formula>
    </cfRule>
    <cfRule type="cellIs" dxfId="1639" priority="291" operator="equal">
      <formula>"-"</formula>
    </cfRule>
    <cfRule type="containsBlanks" dxfId="1638" priority="290">
      <formula>LEN(TRIM(I13))=0</formula>
    </cfRule>
  </conditionalFormatting>
  <conditionalFormatting sqref="I16">
    <cfRule type="containsBlanks" dxfId="1637" priority="232">
      <formula>LEN(TRIM(I16))=0</formula>
    </cfRule>
    <cfRule type="cellIs" dxfId="1636" priority="233" operator="equal">
      <formula>"-"</formula>
    </cfRule>
    <cfRule type="cellIs" dxfId="1635" priority="230" operator="greaterThan">
      <formula>0.08</formula>
    </cfRule>
    <cfRule type="cellIs" dxfId="1634" priority="231" operator="lessThanOrEqual">
      <formula>0.08</formula>
    </cfRule>
  </conditionalFormatting>
  <conditionalFormatting sqref="I19">
    <cfRule type="cellIs" dxfId="1633" priority="170" operator="greaterThan">
      <formula>0.028</formula>
    </cfRule>
    <cfRule type="cellIs" dxfId="1632" priority="169" operator="lessThanOrEqual">
      <formula>0.028</formula>
    </cfRule>
    <cfRule type="containsBlanks" dxfId="1631" priority="171">
      <formula>LEN(TRIM(I19))=0</formula>
    </cfRule>
    <cfRule type="cellIs" dxfId="1630" priority="172" operator="equal">
      <formula>"-"</formula>
    </cfRule>
  </conditionalFormatting>
  <conditionalFormatting sqref="I22">
    <cfRule type="containsBlanks" dxfId="1629" priority="99">
      <formula>LEN(TRIM(I22))=0</formula>
    </cfRule>
    <cfRule type="cellIs" dxfId="1628" priority="97" operator="greaterThan">
      <formula>0.0322</formula>
    </cfRule>
    <cfRule type="cellIs" dxfId="1627" priority="98" operator="lessThanOrEqual">
      <formula>0.0322</formula>
    </cfRule>
    <cfRule type="cellIs" dxfId="1626" priority="100" operator="equal">
      <formula>"-"</formula>
    </cfRule>
  </conditionalFormatting>
  <conditionalFormatting sqref="I25">
    <cfRule type="cellIs" dxfId="1625" priority="30" operator="greaterThan">
      <formula>0.08</formula>
    </cfRule>
    <cfRule type="cellIs" dxfId="1624" priority="31" operator="lessThanOrEqual">
      <formula>0.08</formula>
    </cfRule>
    <cfRule type="containsBlanks" dxfId="1623" priority="32">
      <formula>LEN(TRIM(I25))=0</formula>
    </cfRule>
    <cfRule type="cellIs" dxfId="1622" priority="33" operator="equal">
      <formula>"-"</formula>
    </cfRule>
  </conditionalFormatting>
  <conditionalFormatting sqref="J9:K10">
    <cfRule type="cellIs" dxfId="1621" priority="362" stopIfTrue="1" operator="lessThan">
      <formula>0.7</formula>
    </cfRule>
    <cfRule type="cellIs" dxfId="1620" priority="361" stopIfTrue="1" operator="greaterThanOrEqual">
      <formula>0.7</formula>
    </cfRule>
    <cfRule type="containsBlanks" dxfId="1619" priority="360">
      <formula>LEN(TRIM(J9))=0</formula>
    </cfRule>
  </conditionalFormatting>
  <conditionalFormatting sqref="J13:K13">
    <cfRule type="cellIs" dxfId="1618" priority="283" stopIfTrue="1" operator="greaterThanOrEqual">
      <formula>0.7</formula>
    </cfRule>
    <cfRule type="containsBlanks" dxfId="1617" priority="282">
      <formula>LEN(TRIM(J13))=0</formula>
    </cfRule>
    <cfRule type="cellIs" dxfId="1616" priority="284" stopIfTrue="1" operator="lessThan">
      <formula>0.7</formula>
    </cfRule>
  </conditionalFormatting>
  <conditionalFormatting sqref="J16:K16">
    <cfRule type="cellIs" dxfId="1615" priority="226" stopIfTrue="1" operator="lessThan">
      <formula>0.7</formula>
    </cfRule>
    <cfRule type="cellIs" dxfId="1614" priority="225" stopIfTrue="1" operator="greaterThanOrEqual">
      <formula>0.7</formula>
    </cfRule>
    <cfRule type="containsBlanks" dxfId="1613" priority="224">
      <formula>LEN(TRIM(J16))=0</formula>
    </cfRule>
  </conditionalFormatting>
  <conditionalFormatting sqref="J19:K19">
    <cfRule type="containsBlanks" dxfId="1612" priority="163">
      <formula>LEN(TRIM(J19))=0</formula>
    </cfRule>
    <cfRule type="cellIs" dxfId="1611" priority="164" stopIfTrue="1" operator="greaterThanOrEqual">
      <formula>0.7</formula>
    </cfRule>
    <cfRule type="cellIs" dxfId="1610" priority="165" stopIfTrue="1" operator="lessThan">
      <formula>0.7</formula>
    </cfRule>
  </conditionalFormatting>
  <conditionalFormatting sqref="J22:K22">
    <cfRule type="cellIs" dxfId="1609" priority="93" stopIfTrue="1" operator="lessThan">
      <formula>0.7</formula>
    </cfRule>
    <cfRule type="cellIs" dxfId="1608" priority="92" stopIfTrue="1" operator="greaterThanOrEqual">
      <formula>0.7</formula>
    </cfRule>
    <cfRule type="containsBlanks" dxfId="1607" priority="91">
      <formula>LEN(TRIM(J22))=0</formula>
    </cfRule>
  </conditionalFormatting>
  <conditionalFormatting sqref="J25:K25">
    <cfRule type="containsBlanks" dxfId="1606" priority="24">
      <formula>LEN(TRIM(J25))=0</formula>
    </cfRule>
    <cfRule type="cellIs" dxfId="1605" priority="25" stopIfTrue="1" operator="greaterThanOrEqual">
      <formula>0.7</formula>
    </cfRule>
    <cfRule type="cellIs" dxfId="1604" priority="26" stopIfTrue="1" operator="lessThan">
      <formula>0.7</formula>
    </cfRule>
  </conditionalFormatting>
  <conditionalFormatting sqref="L9:L10">
    <cfRule type="cellIs" dxfId="1603" priority="359" operator="greaterThanOrEqual">
      <formula>0.9</formula>
    </cfRule>
    <cfRule type="containsBlanks" dxfId="1602" priority="357">
      <formula>LEN(TRIM(L9))=0</formula>
    </cfRule>
  </conditionalFormatting>
  <conditionalFormatting sqref="L10">
    <cfRule type="cellIs" dxfId="1601" priority="358" operator="lessThan">
      <formula>0.9</formula>
    </cfRule>
  </conditionalFormatting>
  <conditionalFormatting sqref="L13">
    <cfRule type="cellIs" dxfId="1600" priority="281" operator="greaterThanOrEqual">
      <formula>0.9</formula>
    </cfRule>
    <cfRule type="cellIs" dxfId="1599" priority="280" operator="lessThan">
      <formula>0.9</formula>
    </cfRule>
    <cfRule type="containsBlanks" dxfId="1598" priority="279">
      <formula>LEN(TRIM(L13))=0</formula>
    </cfRule>
  </conditionalFormatting>
  <conditionalFormatting sqref="L16">
    <cfRule type="cellIs" dxfId="1597" priority="222" operator="lessThan">
      <formula>0.9</formula>
    </cfRule>
    <cfRule type="cellIs" dxfId="1596" priority="223" operator="greaterThanOrEqual">
      <formula>0.9</formula>
    </cfRule>
    <cfRule type="containsBlanks" dxfId="1595" priority="221">
      <formula>LEN(TRIM(L16))=0</formula>
    </cfRule>
  </conditionalFormatting>
  <conditionalFormatting sqref="L19">
    <cfRule type="containsBlanks" dxfId="1594" priority="160">
      <formula>LEN(TRIM(L19))=0</formula>
    </cfRule>
    <cfRule type="cellIs" dxfId="1593" priority="161" operator="lessThan">
      <formula>0.9</formula>
    </cfRule>
    <cfRule type="cellIs" dxfId="1592" priority="162" operator="greaterThanOrEqual">
      <formula>0.9</formula>
    </cfRule>
  </conditionalFormatting>
  <conditionalFormatting sqref="L22">
    <cfRule type="containsBlanks" dxfId="1591" priority="88">
      <formula>LEN(TRIM(L22))=0</formula>
    </cfRule>
    <cfRule type="cellIs" dxfId="1590" priority="89" operator="lessThan">
      <formula>0.9</formula>
    </cfRule>
    <cfRule type="cellIs" dxfId="1589" priority="90" operator="greaterThanOrEqual">
      <formula>0.9</formula>
    </cfRule>
  </conditionalFormatting>
  <conditionalFormatting sqref="L25">
    <cfRule type="containsBlanks" dxfId="1588" priority="21">
      <formula>LEN(TRIM(L25))=0</formula>
    </cfRule>
    <cfRule type="cellIs" dxfId="1587" priority="22" operator="lessThan">
      <formula>0.9</formula>
    </cfRule>
    <cfRule type="cellIs" dxfId="1586" priority="23" operator="greaterThanOrEqual">
      <formula>0.9</formula>
    </cfRule>
  </conditionalFormatting>
  <conditionalFormatting sqref="L9:M9">
    <cfRule type="cellIs" dxfId="1585" priority="422" operator="lessThan">
      <formula>0.9</formula>
    </cfRule>
  </conditionalFormatting>
  <conditionalFormatting sqref="M9">
    <cfRule type="cellIs" dxfId="1584" priority="423" operator="equal">
      <formula>"-"</formula>
    </cfRule>
  </conditionalFormatting>
  <conditionalFormatting sqref="M9:M10">
    <cfRule type="containsBlanks" dxfId="1583" priority="353">
      <formula>LEN(TRIM(M9))=0</formula>
    </cfRule>
  </conditionalFormatting>
  <conditionalFormatting sqref="M10">
    <cfRule type="cellIs" dxfId="1582" priority="355" operator="equal">
      <formula>"-"</formula>
    </cfRule>
    <cfRule type="cellIs" dxfId="1581" priority="354" operator="lessThan">
      <formula>0.9</formula>
    </cfRule>
  </conditionalFormatting>
  <conditionalFormatting sqref="M13">
    <cfRule type="cellIs" dxfId="1580" priority="276" operator="lessThan">
      <formula>0.9</formula>
    </cfRule>
    <cfRule type="containsBlanks" dxfId="1579" priority="275">
      <formula>LEN(TRIM(M13))=0</formula>
    </cfRule>
    <cfRule type="cellIs" dxfId="1578" priority="277" operator="equal">
      <formula>"-"</formula>
    </cfRule>
  </conditionalFormatting>
  <conditionalFormatting sqref="M16">
    <cfRule type="cellIs" dxfId="1577" priority="219" operator="equal">
      <formula>"-"</formula>
    </cfRule>
    <cfRule type="cellIs" dxfId="1576" priority="218" operator="lessThan">
      <formula>0.9</formula>
    </cfRule>
    <cfRule type="containsBlanks" dxfId="1575" priority="217">
      <formula>LEN(TRIM(M16))=0</formula>
    </cfRule>
  </conditionalFormatting>
  <conditionalFormatting sqref="M19">
    <cfRule type="containsBlanks" dxfId="1574" priority="156">
      <formula>LEN(TRIM(M19))=0</formula>
    </cfRule>
    <cfRule type="cellIs" dxfId="1573" priority="157" operator="lessThan">
      <formula>0.9</formula>
    </cfRule>
    <cfRule type="cellIs" dxfId="1572" priority="158" operator="equal">
      <formula>"-"</formula>
    </cfRule>
  </conditionalFormatting>
  <conditionalFormatting sqref="M22">
    <cfRule type="containsBlanks" dxfId="1571" priority="84">
      <formula>LEN(TRIM(M22))=0</formula>
    </cfRule>
    <cfRule type="cellIs" dxfId="1570" priority="85" operator="lessThan">
      <formula>0.9</formula>
    </cfRule>
    <cfRule type="cellIs" dxfId="1569" priority="86" operator="equal">
      <formula>"-"</formula>
    </cfRule>
  </conditionalFormatting>
  <conditionalFormatting sqref="M25">
    <cfRule type="cellIs" dxfId="1568" priority="18" operator="lessThan">
      <formula>0.9</formula>
    </cfRule>
    <cfRule type="containsBlanks" dxfId="1567" priority="17">
      <formula>LEN(TRIM(M25))=0</formula>
    </cfRule>
    <cfRule type="cellIs" dxfId="1566" priority="19" operator="equal">
      <formula>"-"</formula>
    </cfRule>
  </conditionalFormatting>
  <conditionalFormatting sqref="M9:N10">
    <cfRule type="cellIs" dxfId="1565" priority="352" operator="greaterThanOrEqual">
      <formula>0.9</formula>
    </cfRule>
  </conditionalFormatting>
  <conditionalFormatting sqref="M13:N13">
    <cfRule type="cellIs" dxfId="1564" priority="274" operator="greaterThanOrEqual">
      <formula>0.9</formula>
    </cfRule>
  </conditionalFormatting>
  <conditionalFormatting sqref="M16:N16">
    <cfRule type="cellIs" dxfId="1563" priority="216" operator="greaterThanOrEqual">
      <formula>0.9</formula>
    </cfRule>
  </conditionalFormatting>
  <conditionalFormatting sqref="M19:N19">
    <cfRule type="cellIs" dxfId="1562" priority="155" operator="greaterThanOrEqual">
      <formula>0.9</formula>
    </cfRule>
  </conditionalFormatting>
  <conditionalFormatting sqref="M22:N22">
    <cfRule type="cellIs" dxfId="1561" priority="83" operator="greaterThanOrEqual">
      <formula>0.9</formula>
    </cfRule>
  </conditionalFormatting>
  <conditionalFormatting sqref="M25:N25">
    <cfRule type="cellIs" dxfId="1560" priority="16" operator="greaterThanOrEqual">
      <formula>0.9</formula>
    </cfRule>
  </conditionalFormatting>
  <conditionalFormatting sqref="N9:N10">
    <cfRule type="cellIs" dxfId="1559" priority="351" operator="lessThan">
      <formula>0.9</formula>
    </cfRule>
  </conditionalFormatting>
  <conditionalFormatting sqref="N13">
    <cfRule type="cellIs" dxfId="1558" priority="273" operator="lessThan">
      <formula>0.9</formula>
    </cfRule>
  </conditionalFormatting>
  <conditionalFormatting sqref="N16">
    <cfRule type="cellIs" dxfId="1557" priority="215" operator="lessThan">
      <formula>0.9</formula>
    </cfRule>
  </conditionalFormatting>
  <conditionalFormatting sqref="N19">
    <cfRule type="cellIs" dxfId="1556" priority="154" operator="lessThan">
      <formula>0.9</formula>
    </cfRule>
  </conditionalFormatting>
  <conditionalFormatting sqref="N22">
    <cfRule type="cellIs" dxfId="1555" priority="82" operator="lessThan">
      <formula>0.9</formula>
    </cfRule>
  </conditionalFormatting>
  <conditionalFormatting sqref="N25">
    <cfRule type="cellIs" dxfId="1554" priority="15" operator="lessThan">
      <formula>0.9</formula>
    </cfRule>
  </conditionalFormatting>
  <conditionalFormatting sqref="N9:P10">
    <cfRule type="containsBlanks" dxfId="1553" priority="343">
      <formula>LEN(TRIM(N9))=0</formula>
    </cfRule>
  </conditionalFormatting>
  <conditionalFormatting sqref="N13:P13">
    <cfRule type="containsBlanks" dxfId="1552" priority="265">
      <formula>LEN(TRIM(N13))=0</formula>
    </cfRule>
  </conditionalFormatting>
  <conditionalFormatting sqref="N16:P16">
    <cfRule type="containsBlanks" dxfId="1551" priority="207">
      <formula>LEN(TRIM(N16))=0</formula>
    </cfRule>
  </conditionalFormatting>
  <conditionalFormatting sqref="N19:P19">
    <cfRule type="containsBlanks" dxfId="1550" priority="146">
      <formula>LEN(TRIM(N19))=0</formula>
    </cfRule>
  </conditionalFormatting>
  <conditionalFormatting sqref="N22:P22">
    <cfRule type="containsBlanks" dxfId="1549" priority="74">
      <formula>LEN(TRIM(N22))=0</formula>
    </cfRule>
  </conditionalFormatting>
  <conditionalFormatting sqref="N25:P25">
    <cfRule type="containsBlanks" dxfId="1548" priority="7">
      <formula>LEN(TRIM(N25))=0</formula>
    </cfRule>
  </conditionalFormatting>
  <conditionalFormatting sqref="O9:O10">
    <cfRule type="cellIs" dxfId="1547" priority="347" operator="equal">
      <formula>"-"</formula>
    </cfRule>
    <cfRule type="cellIs" dxfId="1546" priority="348" operator="lessThan">
      <formula>0.86</formula>
    </cfRule>
    <cfRule type="cellIs" dxfId="1545" priority="349" operator="greaterThanOrEqual">
      <formula>0.86</formula>
    </cfRule>
  </conditionalFormatting>
  <conditionalFormatting sqref="O13">
    <cfRule type="cellIs" dxfId="1544" priority="270" operator="lessThan">
      <formula>0.86</formula>
    </cfRule>
    <cfRule type="cellIs" dxfId="1543" priority="271" operator="greaterThanOrEqual">
      <formula>0.86</formula>
    </cfRule>
    <cfRule type="cellIs" dxfId="1542" priority="269" operator="equal">
      <formula>"-"</formula>
    </cfRule>
  </conditionalFormatting>
  <conditionalFormatting sqref="O16">
    <cfRule type="cellIs" dxfId="1541" priority="212" operator="lessThan">
      <formula>0.86</formula>
    </cfRule>
    <cfRule type="cellIs" dxfId="1540" priority="211" operator="equal">
      <formula>"-"</formula>
    </cfRule>
    <cfRule type="cellIs" dxfId="1539" priority="213" operator="greaterThanOrEqual">
      <formula>0.86</formula>
    </cfRule>
  </conditionalFormatting>
  <conditionalFormatting sqref="O19">
    <cfRule type="cellIs" dxfId="1538" priority="152" operator="greaterThanOrEqual">
      <formula>0.86</formula>
    </cfRule>
    <cfRule type="cellIs" dxfId="1537" priority="151" operator="lessThan">
      <formula>0.86</formula>
    </cfRule>
    <cfRule type="cellIs" dxfId="1536" priority="150" operator="equal">
      <formula>"-"</formula>
    </cfRule>
  </conditionalFormatting>
  <conditionalFormatting sqref="O22">
    <cfRule type="cellIs" dxfId="1535" priority="79" operator="lessThan">
      <formula>0.86</formula>
    </cfRule>
    <cfRule type="cellIs" dxfId="1534" priority="80" operator="greaterThanOrEqual">
      <formula>0.86</formula>
    </cfRule>
    <cfRule type="cellIs" dxfId="1533" priority="78" operator="equal">
      <formula>"-"</formula>
    </cfRule>
  </conditionalFormatting>
  <conditionalFormatting sqref="O25">
    <cfRule type="cellIs" dxfId="1532" priority="11" operator="equal">
      <formula>"-"</formula>
    </cfRule>
    <cfRule type="cellIs" dxfId="1531" priority="12" operator="lessThan">
      <formula>0.86</formula>
    </cfRule>
    <cfRule type="cellIs" dxfId="1530" priority="13" operator="greaterThanOrEqual">
      <formula>0.86</formula>
    </cfRule>
  </conditionalFormatting>
  <conditionalFormatting sqref="P9:P10">
    <cfRule type="cellIs" dxfId="1529" priority="345" operator="greaterThanOrEqual">
      <formula>0.75</formula>
    </cfRule>
    <cfRule type="cellIs" dxfId="1528" priority="344" operator="lessThan">
      <formula>0.75</formula>
    </cfRule>
  </conditionalFormatting>
  <conditionalFormatting sqref="P13">
    <cfRule type="cellIs" dxfId="1527" priority="267" operator="greaterThanOrEqual">
      <formula>0.75</formula>
    </cfRule>
    <cfRule type="cellIs" dxfId="1526" priority="266" operator="lessThan">
      <formula>0.75</formula>
    </cfRule>
  </conditionalFormatting>
  <conditionalFormatting sqref="P16">
    <cfRule type="cellIs" dxfId="1525" priority="208" operator="lessThan">
      <formula>0.75</formula>
    </cfRule>
    <cfRule type="cellIs" dxfId="1524" priority="209" operator="greaterThanOrEqual">
      <formula>0.75</formula>
    </cfRule>
  </conditionalFormatting>
  <conditionalFormatting sqref="P19">
    <cfRule type="cellIs" dxfId="1523" priority="148" operator="greaterThanOrEqual">
      <formula>0.75</formula>
    </cfRule>
    <cfRule type="cellIs" dxfId="1522" priority="147" operator="lessThan">
      <formula>0.75</formula>
    </cfRule>
  </conditionalFormatting>
  <conditionalFormatting sqref="P22">
    <cfRule type="cellIs" dxfId="1521" priority="76" operator="greaterThanOrEqual">
      <formula>0.75</formula>
    </cfRule>
    <cfRule type="cellIs" dxfId="1520" priority="75" operator="lessThan">
      <formula>0.75</formula>
    </cfRule>
  </conditionalFormatting>
  <conditionalFormatting sqref="P25">
    <cfRule type="cellIs" dxfId="1519" priority="8" operator="lessThan">
      <formula>0.75</formula>
    </cfRule>
    <cfRule type="cellIs" dxfId="1518" priority="9" operator="greaterThanOrEqual">
      <formula>0.75</formula>
    </cfRule>
  </conditionalFormatting>
  <conditionalFormatting sqref="Q9">
    <cfRule type="cellIs" dxfId="1517" priority="400" stopIfTrue="1" operator="lessThan">
      <formula>0.86</formula>
    </cfRule>
    <cfRule type="cellIs" dxfId="1516" priority="399" stopIfTrue="1" operator="greaterThanOrEqual">
      <formula>0.86</formula>
    </cfRule>
  </conditionalFormatting>
  <conditionalFormatting sqref="Q10">
    <cfRule type="cellIs" dxfId="1515" priority="332" stopIfTrue="1" operator="lessThan">
      <formula>0.86</formula>
    </cfRule>
    <cfRule type="cellIs" dxfId="1514" priority="331" stopIfTrue="1" operator="greaterThanOrEqual">
      <formula>0.86</formula>
    </cfRule>
  </conditionalFormatting>
  <conditionalFormatting sqref="Q13">
    <cfRule type="cellIs" dxfId="1513" priority="264" stopIfTrue="1" operator="lessThan">
      <formula>0.86</formula>
    </cfRule>
    <cfRule type="containsBlanks" dxfId="1512" priority="262">
      <formula>LEN(TRIM(Q13))=0</formula>
    </cfRule>
    <cfRule type="cellIs" dxfId="1511" priority="263" stopIfTrue="1" operator="greaterThanOrEqual">
      <formula>0.86</formula>
    </cfRule>
  </conditionalFormatting>
  <conditionalFormatting sqref="Q19">
    <cfRule type="cellIs" dxfId="1510" priority="199" stopIfTrue="1" operator="lessThan">
      <formula>0.86</formula>
    </cfRule>
    <cfRule type="cellIs" dxfId="1509" priority="198" stopIfTrue="1" operator="greaterThanOrEqual">
      <formula>0.86</formula>
    </cfRule>
    <cfRule type="containsBlanks" dxfId="1508" priority="197">
      <formula>LEN(TRIM(Q19))=0</formula>
    </cfRule>
  </conditionalFormatting>
  <conditionalFormatting sqref="Q22">
    <cfRule type="cellIs" dxfId="1507" priority="69" stopIfTrue="1" operator="greaterThanOrEqual">
      <formula>0.86</formula>
    </cfRule>
    <cfRule type="cellIs" dxfId="1506" priority="70" stopIfTrue="1" operator="lessThan">
      <formula>0.86</formula>
    </cfRule>
  </conditionalFormatting>
  <conditionalFormatting sqref="Q25">
    <cfRule type="cellIs" dxfId="1505" priority="3" stopIfTrue="1" operator="lessThan">
      <formula>0.86</formula>
    </cfRule>
    <cfRule type="cellIs" dxfId="1504" priority="2" stopIfTrue="1" operator="greaterThanOrEqual">
      <formula>0.86</formula>
    </cfRule>
  </conditionalFormatting>
  <conditionalFormatting sqref="Q10:R10">
    <cfRule type="containsBlanks" dxfId="1503" priority="330">
      <formula>LEN(TRIM(Q10))=0</formula>
    </cfRule>
  </conditionalFormatting>
  <conditionalFormatting sqref="Q16:R16">
    <cfRule type="cellIs" dxfId="1502" priority="205" stopIfTrue="1" operator="greaterThanOrEqual">
      <formula>0.86</formula>
    </cfRule>
    <cfRule type="cellIs" dxfId="1501" priority="206" stopIfTrue="1" operator="lessThan">
      <formula>0.86</formula>
    </cfRule>
  </conditionalFormatting>
  <conditionalFormatting sqref="Q9:S9">
    <cfRule type="containsBlanks" dxfId="1500" priority="398">
      <formula>LEN(TRIM(Q9))=0</formula>
    </cfRule>
  </conditionalFormatting>
  <conditionalFormatting sqref="Q16:T16">
    <cfRule type="containsBlanks" dxfId="1499" priority="204">
      <formula>LEN(TRIM(Q16))=0</formula>
    </cfRule>
  </conditionalFormatting>
  <conditionalFormatting sqref="Q22:T22">
    <cfRule type="containsBlanks" dxfId="1498" priority="68">
      <formula>LEN(TRIM(Q22))=0</formula>
    </cfRule>
  </conditionalFormatting>
  <conditionalFormatting sqref="Q25:T25">
    <cfRule type="containsBlanks" dxfId="1497" priority="1">
      <formula>LEN(TRIM(Q25))=0</formula>
    </cfRule>
  </conditionalFormatting>
  <conditionalFormatting sqref="R9">
    <cfRule type="cellIs" dxfId="1496" priority="402" stopIfTrue="1" operator="greaterThanOrEqual">
      <formula>0.96</formula>
    </cfRule>
    <cfRule type="cellIs" dxfId="1495" priority="403" stopIfTrue="1" operator="lessThan">
      <formula>0.96</formula>
    </cfRule>
  </conditionalFormatting>
  <conditionalFormatting sqref="R10">
    <cfRule type="cellIs" dxfId="1494" priority="334" stopIfTrue="1" operator="greaterThanOrEqual">
      <formula>0.96</formula>
    </cfRule>
    <cfRule type="cellIs" dxfId="1493" priority="335" stopIfTrue="1" operator="lessThan">
      <formula>0.96</formula>
    </cfRule>
  </conditionalFormatting>
  <conditionalFormatting sqref="R13">
    <cfRule type="cellIs" dxfId="1492" priority="322" operator="equal">
      <formula>"-"</formula>
    </cfRule>
    <cfRule type="containsBlanks" dxfId="1491" priority="323">
      <formula>LEN(TRIM(R13))=0</formula>
    </cfRule>
    <cfRule type="cellIs" dxfId="1490" priority="325" operator="lessThanOrEqual">
      <formula>0.11</formula>
    </cfRule>
    <cfRule type="cellIs" dxfId="1489" priority="324" operator="greaterThan">
      <formula>0.11</formula>
    </cfRule>
  </conditionalFormatting>
  <conditionalFormatting sqref="R19">
    <cfRule type="cellIs" dxfId="1488" priority="136" operator="lessThan">
      <formula>0.75</formula>
    </cfRule>
    <cfRule type="cellIs" dxfId="1487" priority="137" operator="greaterThanOrEqual">
      <formula>0.75</formula>
    </cfRule>
    <cfRule type="containsBlanks" dxfId="1486" priority="135">
      <formula>LEN(TRIM(R19))=0</formula>
    </cfRule>
  </conditionalFormatting>
  <conditionalFormatting sqref="R22">
    <cfRule type="cellIs" dxfId="1485" priority="73" stopIfTrue="1" operator="lessThan">
      <formula>0.96</formula>
    </cfRule>
    <cfRule type="cellIs" dxfId="1484" priority="72" stopIfTrue="1" operator="greaterThanOrEqual">
      <formula>0.96</formula>
    </cfRule>
  </conditionalFormatting>
  <conditionalFormatting sqref="R25">
    <cfRule type="cellIs" dxfId="1483" priority="6" stopIfTrue="1" operator="lessThan">
      <formula>0.96</formula>
    </cfRule>
    <cfRule type="cellIs" dxfId="1482" priority="5" stopIfTrue="1" operator="greaterThanOrEqual">
      <formula>0.96</formula>
    </cfRule>
  </conditionalFormatting>
  <conditionalFormatting sqref="S9">
    <cfRule type="cellIs" dxfId="1481" priority="405" stopIfTrue="1" operator="greaterThanOrEqual">
      <formula>0.78</formula>
    </cfRule>
    <cfRule type="cellIs" dxfId="1480" priority="406" stopIfTrue="1" operator="lessThan">
      <formula>0.78</formula>
    </cfRule>
  </conditionalFormatting>
  <conditionalFormatting sqref="S10">
    <cfRule type="cellIs" dxfId="1479" priority="338" operator="greaterThanOrEqual">
      <formula>0.75</formula>
    </cfRule>
    <cfRule type="cellIs" dxfId="1478" priority="337" operator="lessThan">
      <formula>0.75</formula>
    </cfRule>
    <cfRule type="containsBlanks" dxfId="1477" priority="336">
      <formula>LEN(TRIM(S10))=0</formula>
    </cfRule>
  </conditionalFormatting>
  <conditionalFormatting sqref="S13">
    <cfRule type="cellIs" dxfId="1476" priority="320" stopIfTrue="1" operator="greaterThanOrEqual">
      <formula>0.78</formula>
    </cfRule>
    <cfRule type="cellIs" dxfId="1475" priority="321" stopIfTrue="1" operator="lessThan">
      <formula>0.78</formula>
    </cfRule>
  </conditionalFormatting>
  <conditionalFormatting sqref="S16">
    <cfRule type="cellIs" dxfId="1474" priority="660" stopIfTrue="1" operator="greaterThanOrEqual">
      <formula>0.78</formula>
    </cfRule>
    <cfRule type="cellIs" dxfId="1473" priority="661" stopIfTrue="1" operator="lessThan">
      <formula>0.78</formula>
    </cfRule>
  </conditionalFormatting>
  <conditionalFormatting sqref="S25">
    <cfRule type="cellIs" dxfId="1472" priority="60" stopIfTrue="1" operator="lessThan">
      <formula>0.78</formula>
    </cfRule>
    <cfRule type="cellIs" dxfId="1471" priority="59" stopIfTrue="1" operator="greaterThanOrEqual">
      <formula>0.78</formula>
    </cfRule>
  </conditionalFormatting>
  <conditionalFormatting sqref="S13:T13">
    <cfRule type="containsBlanks" dxfId="1470" priority="316">
      <formula>LEN(TRIM(S13))=0</formula>
    </cfRule>
  </conditionalFormatting>
  <conditionalFormatting sqref="S19:T19">
    <cfRule type="containsBlanks" dxfId="1469" priority="138">
      <formula>LEN(TRIM(S19))=0</formula>
    </cfRule>
    <cfRule type="cellIs" dxfId="1468" priority="139" operator="lessThan">
      <formula>0.9</formula>
    </cfRule>
    <cfRule type="cellIs" dxfId="1467" priority="140" operator="equal">
      <formula>"-"</formula>
    </cfRule>
    <cfRule type="cellIs" dxfId="1466" priority="141" operator="greaterThanOrEqual">
      <formula>0.9</formula>
    </cfRule>
  </conditionalFormatting>
  <conditionalFormatting sqref="S22:T22">
    <cfRule type="cellIs" dxfId="1465" priority="127" stopIfTrue="1" operator="lessThan">
      <formula>0.97</formula>
    </cfRule>
    <cfRule type="cellIs" dxfId="1464" priority="126" stopIfTrue="1" operator="greaterThanOrEqual">
      <formula>0.97</formula>
    </cfRule>
  </conditionalFormatting>
  <conditionalFormatting sqref="T9:T10">
    <cfRule type="cellIs" dxfId="1463" priority="342" operator="greaterThanOrEqual">
      <formula>0.9</formula>
    </cfRule>
    <cfRule type="cellIs" dxfId="1462" priority="341" operator="equal">
      <formula>"-"</formula>
    </cfRule>
    <cfRule type="cellIs" dxfId="1461" priority="340" operator="lessThan">
      <formula>0.9</formula>
    </cfRule>
    <cfRule type="containsBlanks" dxfId="1460" priority="339">
      <formula>LEN(TRIM(T9))=0</formula>
    </cfRule>
  </conditionalFormatting>
  <conditionalFormatting sqref="T13">
    <cfRule type="cellIs" dxfId="1459" priority="318" stopIfTrue="1" operator="lessThan">
      <formula>0.86</formula>
    </cfRule>
    <cfRule type="cellIs" dxfId="1458" priority="317" stopIfTrue="1" operator="greaterThanOrEqual">
      <formula>0.86</formula>
    </cfRule>
  </conditionalFormatting>
  <conditionalFormatting sqref="T16">
    <cfRule type="cellIs" dxfId="1457" priority="663" stopIfTrue="1" operator="greaterThanOrEqual">
      <formula>0.86</formula>
    </cfRule>
    <cfRule type="cellIs" dxfId="1456" priority="664" stopIfTrue="1" operator="lessThan">
      <formula>0.86</formula>
    </cfRule>
  </conditionalFormatting>
  <conditionalFormatting sqref="T25">
    <cfRule type="cellIs" dxfId="1455" priority="63" stopIfTrue="1" operator="lessThan">
      <formula>0.86</formula>
    </cfRule>
    <cfRule type="cellIs" dxfId="1454" priority="62" stopIfTrue="1" operator="greaterThanOrEqual">
      <formula>0.86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9"/>
  <sheetViews>
    <sheetView zoomScale="112" zoomScaleNormal="112" workbookViewId="0">
      <pane xSplit="6" ySplit="3" topLeftCell="G14" activePane="bottomRight" state="frozen"/>
      <selection pane="topRight" activeCell="I31" sqref="I31"/>
      <selection pane="bottomLeft" activeCell="I31" sqref="I31"/>
      <selection pane="bottomRight" activeCell="D33" sqref="D33"/>
    </sheetView>
  </sheetViews>
  <sheetFormatPr defaultColWidth="9.140625" defaultRowHeight="12.75" x14ac:dyDescent="0.2"/>
  <cols>
    <col min="1" max="1" width="11" style="11" hidden="1" customWidth="1"/>
    <col min="2" max="2" width="10.42578125" style="11" hidden="1" customWidth="1"/>
    <col min="3" max="3" width="19.42578125" style="160" hidden="1" customWidth="1"/>
    <col min="4" max="4" width="64.28515625" style="11" bestFit="1" customWidth="1"/>
    <col min="5" max="5" width="3.28515625" style="11" bestFit="1" customWidth="1"/>
    <col min="6" max="6" width="7" style="11" bestFit="1" customWidth="1"/>
    <col min="7" max="7" width="11.42578125" style="21" hidden="1" customWidth="1"/>
    <col min="8" max="8" width="9.5703125" style="11" hidden="1" customWidth="1"/>
    <col min="9" max="9" width="9.140625" style="11" hidden="1" customWidth="1"/>
    <col min="10" max="16" width="9.140625" style="11" customWidth="1"/>
    <col min="17" max="30" width="9.140625" style="11" hidden="1" customWidth="1"/>
    <col min="31" max="31" width="0.140625" style="11" hidden="1" customWidth="1"/>
    <col min="32" max="33" width="17.7109375" style="11" customWidth="1"/>
    <col min="34" max="16384" width="9.140625" style="11"/>
  </cols>
  <sheetData>
    <row r="1" spans="1:33" x14ac:dyDescent="0.2">
      <c r="A1" s="11" t="s">
        <v>35</v>
      </c>
    </row>
    <row r="2" spans="1:33" x14ac:dyDescent="0.2">
      <c r="A2" s="334" t="s">
        <v>0</v>
      </c>
      <c r="B2" s="334" t="s">
        <v>36</v>
      </c>
      <c r="C2" s="334" t="s">
        <v>37</v>
      </c>
      <c r="D2" s="338" t="s">
        <v>38</v>
      </c>
      <c r="E2" s="338" t="s">
        <v>24</v>
      </c>
      <c r="F2" s="338" t="s">
        <v>39</v>
      </c>
      <c r="G2" s="339" t="s">
        <v>40</v>
      </c>
      <c r="H2" s="338" t="s">
        <v>41</v>
      </c>
      <c r="I2" s="338"/>
      <c r="J2" s="338"/>
      <c r="K2" s="340" t="s">
        <v>42</v>
      </c>
      <c r="L2" s="340"/>
      <c r="M2" s="340"/>
      <c r="N2" s="340"/>
      <c r="O2" s="340"/>
      <c r="P2" s="340"/>
      <c r="Q2" s="341" t="s">
        <v>43</v>
      </c>
      <c r="R2" s="341"/>
      <c r="S2" s="341"/>
      <c r="T2" s="341"/>
      <c r="U2" s="341"/>
      <c r="V2" s="341"/>
      <c r="W2" s="341"/>
      <c r="X2" s="341"/>
      <c r="Y2" s="341"/>
      <c r="Z2" s="342" t="s">
        <v>44</v>
      </c>
      <c r="AA2" s="342"/>
      <c r="AB2" s="342"/>
      <c r="AC2" s="342"/>
      <c r="AD2" s="342"/>
      <c r="AE2" s="342"/>
      <c r="AF2" s="64" t="s">
        <v>28</v>
      </c>
      <c r="AG2" s="64" t="s">
        <v>29</v>
      </c>
    </row>
    <row r="3" spans="1:33" ht="15" customHeight="1" x14ac:dyDescent="0.2">
      <c r="A3" s="334"/>
      <c r="B3" s="334"/>
      <c r="C3" s="334"/>
      <c r="D3" s="338"/>
      <c r="E3" s="338"/>
      <c r="F3" s="338"/>
      <c r="G3" s="339"/>
      <c r="H3" s="19" t="s">
        <v>45</v>
      </c>
      <c r="I3" s="20" t="s">
        <v>46</v>
      </c>
      <c r="J3" s="20" t="s">
        <v>26</v>
      </c>
      <c r="K3" s="193" t="s">
        <v>27</v>
      </c>
      <c r="L3" s="193" t="s">
        <v>30</v>
      </c>
      <c r="M3" s="193" t="s">
        <v>31</v>
      </c>
      <c r="N3" s="193" t="s">
        <v>32</v>
      </c>
      <c r="O3" s="193" t="s">
        <v>33</v>
      </c>
      <c r="P3" s="193" t="s">
        <v>34</v>
      </c>
      <c r="Q3" s="194" t="s">
        <v>47</v>
      </c>
      <c r="R3" s="194" t="s">
        <v>48</v>
      </c>
      <c r="S3" s="194" t="s">
        <v>49</v>
      </c>
      <c r="T3" s="194" t="s">
        <v>50</v>
      </c>
      <c r="U3" s="194" t="s">
        <v>51</v>
      </c>
      <c r="V3" s="194" t="s">
        <v>52</v>
      </c>
      <c r="W3" s="194" t="s">
        <v>53</v>
      </c>
      <c r="X3" s="194" t="s">
        <v>54</v>
      </c>
      <c r="Y3" s="194" t="s">
        <v>55</v>
      </c>
      <c r="Z3" s="195" t="s">
        <v>56</v>
      </c>
      <c r="AA3" s="195" t="s">
        <v>57</v>
      </c>
      <c r="AB3" s="195" t="s">
        <v>58</v>
      </c>
      <c r="AC3" s="195" t="s">
        <v>59</v>
      </c>
      <c r="AD3" s="195" t="s">
        <v>60</v>
      </c>
      <c r="AE3" s="195" t="s">
        <v>61</v>
      </c>
      <c r="AF3" s="336" t="s">
        <v>62</v>
      </c>
      <c r="AG3" s="337"/>
    </row>
    <row r="4" spans="1:33" s="163" customFormat="1" hidden="1" x14ac:dyDescent="0.25">
      <c r="A4" s="179" t="s">
        <v>2</v>
      </c>
      <c r="B4" s="334" t="s">
        <v>63</v>
      </c>
      <c r="C4" s="155" t="s">
        <v>64</v>
      </c>
      <c r="D4" s="156" t="s">
        <v>65</v>
      </c>
      <c r="E4" s="20">
        <v>1</v>
      </c>
      <c r="F4" s="157">
        <v>0.03</v>
      </c>
      <c r="G4" s="172" t="s">
        <v>66</v>
      </c>
      <c r="H4" s="172" t="s">
        <v>66</v>
      </c>
      <c r="I4" s="172" t="s">
        <v>66</v>
      </c>
      <c r="J4" s="172" t="s">
        <v>66</v>
      </c>
      <c r="K4" s="172" t="s">
        <v>66</v>
      </c>
      <c r="L4" s="172" t="s">
        <v>66</v>
      </c>
      <c r="M4" s="172" t="s">
        <v>66</v>
      </c>
      <c r="N4" s="172" t="s">
        <v>66</v>
      </c>
      <c r="O4" s="172" t="s">
        <v>66</v>
      </c>
      <c r="P4" s="172" t="s">
        <v>66</v>
      </c>
      <c r="Q4" s="172" t="s">
        <v>66</v>
      </c>
      <c r="R4" s="172" t="s">
        <v>66</v>
      </c>
      <c r="S4" s="172" t="s">
        <v>66</v>
      </c>
      <c r="T4" s="172" t="s">
        <v>66</v>
      </c>
      <c r="U4" s="172" t="s">
        <v>66</v>
      </c>
      <c r="V4" s="172" t="s">
        <v>66</v>
      </c>
      <c r="W4" s="172" t="s">
        <v>66</v>
      </c>
      <c r="X4" s="172" t="s">
        <v>66</v>
      </c>
      <c r="Y4" s="172" t="s">
        <v>66</v>
      </c>
      <c r="Z4" s="172" t="s">
        <v>66</v>
      </c>
      <c r="AA4" s="172" t="s">
        <v>66</v>
      </c>
      <c r="AB4" s="172" t="s">
        <v>66</v>
      </c>
      <c r="AC4" s="172" t="s">
        <v>66</v>
      </c>
      <c r="AD4" s="172" t="s">
        <v>66</v>
      </c>
      <c r="AE4" s="172" t="s">
        <v>66</v>
      </c>
      <c r="AF4" s="165"/>
      <c r="AG4" s="161"/>
    </row>
    <row r="5" spans="1:33" ht="15" customHeight="1" x14ac:dyDescent="0.25">
      <c r="A5" s="167" t="s">
        <v>1</v>
      </c>
      <c r="B5" s="334"/>
      <c r="C5" s="335"/>
      <c r="D5" s="158" t="s">
        <v>5</v>
      </c>
      <c r="E5" s="20">
        <v>1</v>
      </c>
      <c r="F5" s="119">
        <v>0.9</v>
      </c>
      <c r="G5" s="52">
        <v>0.94489069649211999</v>
      </c>
      <c r="H5" s="52">
        <v>0.96741071428571423</v>
      </c>
      <c r="I5" s="196"/>
      <c r="J5" s="244">
        <v>0.97154899894625923</v>
      </c>
      <c r="K5" s="244">
        <v>0.97872340425531912</v>
      </c>
      <c r="L5" s="244">
        <v>0.94186046511627908</v>
      </c>
      <c r="M5" s="244">
        <v>0.9882352941176471</v>
      </c>
      <c r="N5" s="244">
        <v>0.97058823529411764</v>
      </c>
      <c r="O5" s="244">
        <v>0.95238095238095233</v>
      </c>
      <c r="P5" s="244">
        <v>0.97315436241610742</v>
      </c>
      <c r="Q5" s="52">
        <v>0.97333333333333338</v>
      </c>
      <c r="R5" s="52">
        <v>1</v>
      </c>
      <c r="S5" s="52">
        <v>0.99009900990099009</v>
      </c>
      <c r="T5" s="52">
        <v>0.98639455782312924</v>
      </c>
      <c r="U5" s="52">
        <v>0.81944444444444442</v>
      </c>
      <c r="V5" s="52">
        <v>0.9859154929577465</v>
      </c>
      <c r="W5" s="52">
        <v>1</v>
      </c>
      <c r="X5" s="52">
        <v>0.98780487804878048</v>
      </c>
      <c r="Y5" s="52">
        <v>1</v>
      </c>
      <c r="Z5" s="52">
        <v>1</v>
      </c>
      <c r="AA5" s="52">
        <v>0.98461538461538467</v>
      </c>
      <c r="AB5" s="52">
        <v>1</v>
      </c>
      <c r="AC5" s="52">
        <v>0.90833333333333333</v>
      </c>
      <c r="AD5" s="52">
        <v>1</v>
      </c>
      <c r="AE5" s="52">
        <v>0.97872340425531912</v>
      </c>
      <c r="AF5" s="170"/>
      <c r="AG5" s="153"/>
    </row>
    <row r="6" spans="1:33" ht="15" customHeight="1" x14ac:dyDescent="0.2">
      <c r="A6" s="167" t="s">
        <v>1</v>
      </c>
      <c r="B6" s="334"/>
      <c r="C6" s="335"/>
      <c r="D6" s="169" t="s">
        <v>6</v>
      </c>
      <c r="E6" s="20">
        <v>2</v>
      </c>
      <c r="F6" s="119">
        <v>0.65</v>
      </c>
      <c r="G6" s="171">
        <v>0.97943661971830986</v>
      </c>
      <c r="H6" s="171">
        <v>0.9860114777618364</v>
      </c>
      <c r="I6" s="171"/>
      <c r="J6" s="245">
        <v>0.91331757289204096</v>
      </c>
      <c r="K6" s="245">
        <v>0.79734219269102991</v>
      </c>
      <c r="L6" s="245">
        <v>0.9327731092436975</v>
      </c>
      <c r="M6" s="245">
        <v>0.91393442622950816</v>
      </c>
      <c r="N6" s="245">
        <v>0.98148148148148151</v>
      </c>
      <c r="O6" s="245">
        <v>0.98657718120805371</v>
      </c>
      <c r="P6" s="245">
        <v>0.95771144278606968</v>
      </c>
      <c r="Q6" s="171">
        <v>1</v>
      </c>
      <c r="R6" s="171">
        <v>0.98809523809523814</v>
      </c>
      <c r="S6" s="171">
        <v>0.98630136986301364</v>
      </c>
      <c r="T6" s="171">
        <v>0.98421052631578942</v>
      </c>
      <c r="U6" s="171">
        <v>0.99065420560747663</v>
      </c>
      <c r="V6" s="171">
        <v>1</v>
      </c>
      <c r="W6" s="171">
        <v>1</v>
      </c>
      <c r="X6" s="171">
        <v>1</v>
      </c>
      <c r="Y6" s="171">
        <v>0.99099099099099097</v>
      </c>
      <c r="Z6" s="171">
        <v>0.98275862068965514</v>
      </c>
      <c r="AA6" s="171">
        <v>0.96590909090909094</v>
      </c>
      <c r="AB6" s="171">
        <v>0.9882352941176471</v>
      </c>
      <c r="AC6" s="171">
        <v>0.97122302158273377</v>
      </c>
      <c r="AD6" s="171">
        <v>0.98620689655172411</v>
      </c>
      <c r="AE6" s="171">
        <v>0.98449612403100772</v>
      </c>
      <c r="AF6" s="162"/>
      <c r="AG6" s="153"/>
    </row>
    <row r="7" spans="1:33" ht="15" customHeight="1" x14ac:dyDescent="0.2">
      <c r="A7" s="167" t="s">
        <v>1</v>
      </c>
      <c r="B7" s="334"/>
      <c r="C7" s="335"/>
      <c r="D7" s="158" t="s">
        <v>8</v>
      </c>
      <c r="E7" s="20">
        <v>3</v>
      </c>
      <c r="F7" s="119">
        <v>0.03</v>
      </c>
      <c r="G7" s="187">
        <v>2.2839801948570517E-2</v>
      </c>
      <c r="H7" s="187">
        <v>6.8526676456191872E-3</v>
      </c>
      <c r="I7" s="187"/>
      <c r="J7" s="256">
        <v>2.0562770562770564E-2</v>
      </c>
      <c r="K7" s="256">
        <v>7.1428571428571426E-3</v>
      </c>
      <c r="L7" s="256">
        <v>4.2424242424242427E-2</v>
      </c>
      <c r="M7" s="256">
        <v>5.5E-2</v>
      </c>
      <c r="N7" s="256" t="e">
        <v>#N/A</v>
      </c>
      <c r="O7" s="256">
        <v>5.8479532163742687E-3</v>
      </c>
      <c r="P7" s="256">
        <v>8.0906148867313909E-3</v>
      </c>
      <c r="Q7" s="168">
        <v>1.7670157068062829E-2</v>
      </c>
      <c r="R7" s="187">
        <v>1.6877637130801686E-2</v>
      </c>
      <c r="S7" s="187">
        <v>8.4388185654008432E-3</v>
      </c>
      <c r="T7" s="187" t="s">
        <v>67</v>
      </c>
      <c r="U7" s="187">
        <v>2.6905829596412557E-2</v>
      </c>
      <c r="V7" s="187" t="s">
        <v>67</v>
      </c>
      <c r="W7" s="187" t="s">
        <v>67</v>
      </c>
      <c r="X7" s="187">
        <v>8.2644628099173556E-3</v>
      </c>
      <c r="Y7" s="187" t="s">
        <v>67</v>
      </c>
      <c r="Z7" s="187" t="s">
        <v>67</v>
      </c>
      <c r="AA7" s="187">
        <v>1.9762845849802372E-2</v>
      </c>
      <c r="AB7" s="187" t="s">
        <v>67</v>
      </c>
      <c r="AC7" s="187">
        <v>5.5865921787709499E-3</v>
      </c>
      <c r="AD7" s="187" t="s">
        <v>67</v>
      </c>
      <c r="AE7" s="187" t="s">
        <v>67</v>
      </c>
      <c r="AF7" s="162"/>
      <c r="AG7" s="153"/>
    </row>
    <row r="8" spans="1:33" ht="15" hidden="1" customHeight="1" x14ac:dyDescent="0.2">
      <c r="A8" s="167" t="s">
        <v>1</v>
      </c>
      <c r="B8" s="334"/>
      <c r="C8" s="335"/>
      <c r="D8" s="158" t="s">
        <v>68</v>
      </c>
      <c r="E8" s="20">
        <v>4</v>
      </c>
      <c r="F8" s="119">
        <v>0.11</v>
      </c>
      <c r="G8" s="171">
        <v>0.20103284885268594</v>
      </c>
      <c r="H8" s="171">
        <v>8.4189916789035729E-2</v>
      </c>
      <c r="I8" s="171"/>
      <c r="J8" s="257"/>
      <c r="K8" s="257"/>
      <c r="L8" s="257"/>
      <c r="M8" s="257"/>
      <c r="N8" s="257"/>
      <c r="O8" s="257"/>
      <c r="P8" s="257"/>
      <c r="Q8" s="171">
        <v>4.2105263157894736E-2</v>
      </c>
      <c r="R8" s="171">
        <v>6.7510548523206745E-2</v>
      </c>
      <c r="S8" s="171">
        <v>8.0168776371308023E-2</v>
      </c>
      <c r="T8" s="171">
        <v>0.13584905660377358</v>
      </c>
      <c r="U8" s="171">
        <v>0.16143497757847533</v>
      </c>
      <c r="V8" s="171">
        <v>5.3497942386831275E-2</v>
      </c>
      <c r="W8" s="171">
        <v>0.12587412587412589</v>
      </c>
      <c r="X8" s="171">
        <v>9.9173553719008267E-2</v>
      </c>
      <c r="Y8" s="171">
        <v>8.6956521739130432E-2</v>
      </c>
      <c r="Z8" s="171">
        <v>9.5238095238095233E-2</v>
      </c>
      <c r="AA8" s="171">
        <v>0.11462450592885376</v>
      </c>
      <c r="AB8" s="171">
        <v>1.5151515151515152E-2</v>
      </c>
      <c r="AC8" s="171">
        <v>8.3798882681564241E-2</v>
      </c>
      <c r="AD8" s="171">
        <v>3.2258064516129031E-2</v>
      </c>
      <c r="AE8" s="171">
        <v>6.1111111111111109E-2</v>
      </c>
      <c r="AF8" s="171"/>
      <c r="AG8" s="153"/>
    </row>
    <row r="9" spans="1:33" ht="15" customHeight="1" x14ac:dyDescent="0.2">
      <c r="A9" s="167" t="s">
        <v>1</v>
      </c>
      <c r="B9" s="334"/>
      <c r="C9" s="335"/>
      <c r="D9" s="158" t="s">
        <v>69</v>
      </c>
      <c r="E9" s="20">
        <v>5</v>
      </c>
      <c r="F9" s="119">
        <v>0.95</v>
      </c>
      <c r="G9" s="52">
        <v>0.8675520459440057</v>
      </c>
      <c r="H9" s="52">
        <v>0.92088382038488947</v>
      </c>
      <c r="I9" s="52"/>
      <c r="J9" s="244">
        <v>0.99360000000000004</v>
      </c>
      <c r="K9" s="244">
        <v>0.99652777777777779</v>
      </c>
      <c r="L9" s="244">
        <v>0.99199999999999999</v>
      </c>
      <c r="M9" s="244">
        <v>1</v>
      </c>
      <c r="N9" s="244">
        <v>0.93617021276595747</v>
      </c>
      <c r="O9" s="244">
        <v>1</v>
      </c>
      <c r="P9" s="244">
        <v>0.99135446685878958</v>
      </c>
      <c r="Q9" s="52">
        <v>0.92207792207792205</v>
      </c>
      <c r="R9" s="52">
        <v>0.92672413793103448</v>
      </c>
      <c r="S9" s="52">
        <v>0.96581196581196582</v>
      </c>
      <c r="T9" s="52">
        <v>0.89583333333333337</v>
      </c>
      <c r="U9" s="52">
        <v>0.93023255813953487</v>
      </c>
      <c r="V9" s="52">
        <v>0.95495495495495497</v>
      </c>
      <c r="W9" s="52">
        <v>0.92</v>
      </c>
      <c r="X9" s="52">
        <v>0.92045454545454541</v>
      </c>
      <c r="Y9" s="52">
        <v>0.94782608695652171</v>
      </c>
      <c r="Z9" s="52">
        <v>0.90740740740740744</v>
      </c>
      <c r="AA9" s="52">
        <v>0.91712707182320441</v>
      </c>
      <c r="AB9" s="52">
        <v>0.99047619047619051</v>
      </c>
      <c r="AC9" s="52">
        <v>0.92481203007518797</v>
      </c>
      <c r="AD9" s="52">
        <v>0.94074074074074077</v>
      </c>
      <c r="AE9" s="52">
        <v>0.88</v>
      </c>
      <c r="AF9" s="162"/>
      <c r="AG9" s="153"/>
    </row>
    <row r="10" spans="1:33" ht="15" customHeight="1" x14ac:dyDescent="0.2">
      <c r="A10" s="179" t="s">
        <v>2</v>
      </c>
      <c r="B10" s="334"/>
      <c r="C10" s="335"/>
      <c r="D10" s="158" t="s">
        <v>10</v>
      </c>
      <c r="E10" s="20">
        <v>6</v>
      </c>
      <c r="F10" s="119">
        <v>0.7</v>
      </c>
      <c r="G10" s="186" t="s">
        <v>66</v>
      </c>
      <c r="H10" s="186" t="s">
        <v>66</v>
      </c>
      <c r="I10" s="186"/>
      <c r="J10" s="186"/>
      <c r="K10" s="186"/>
      <c r="L10" s="186"/>
      <c r="M10" s="186"/>
      <c r="N10" s="186"/>
      <c r="O10" s="186"/>
      <c r="P10" s="186"/>
      <c r="Q10" s="186" t="s">
        <v>66</v>
      </c>
      <c r="R10" s="186" t="s">
        <v>66</v>
      </c>
      <c r="S10" s="186" t="s">
        <v>66</v>
      </c>
      <c r="T10" s="186" t="s">
        <v>66</v>
      </c>
      <c r="U10" s="186" t="s">
        <v>66</v>
      </c>
      <c r="V10" s="186" t="s">
        <v>66</v>
      </c>
      <c r="W10" s="186" t="s">
        <v>66</v>
      </c>
      <c r="X10" s="186" t="s">
        <v>66</v>
      </c>
      <c r="Y10" s="186" t="s">
        <v>66</v>
      </c>
      <c r="Z10" s="186" t="s">
        <v>66</v>
      </c>
      <c r="AA10" s="186" t="s">
        <v>66</v>
      </c>
      <c r="AB10" s="186" t="s">
        <v>66</v>
      </c>
      <c r="AC10" s="186" t="s">
        <v>66</v>
      </c>
      <c r="AD10" s="186" t="s">
        <v>66</v>
      </c>
      <c r="AE10" s="186" t="s">
        <v>66</v>
      </c>
      <c r="AF10" s="162"/>
      <c r="AG10" s="153"/>
    </row>
    <row r="11" spans="1:33" ht="15" hidden="1" customHeight="1" x14ac:dyDescent="0.2">
      <c r="A11" s="179" t="s">
        <v>2</v>
      </c>
      <c r="B11" s="334" t="s">
        <v>70</v>
      </c>
      <c r="C11" s="335" t="s">
        <v>71</v>
      </c>
      <c r="D11" s="158" t="s">
        <v>72</v>
      </c>
      <c r="E11" s="20">
        <v>7</v>
      </c>
      <c r="F11" s="119">
        <v>0.28999999999999998</v>
      </c>
      <c r="G11" s="182">
        <v>0.29234119001555814</v>
      </c>
      <c r="H11" s="182">
        <v>0.2373483377317466</v>
      </c>
      <c r="I11" s="182"/>
      <c r="J11" s="182"/>
      <c r="K11" s="182"/>
      <c r="L11" s="182"/>
      <c r="M11" s="182"/>
      <c r="N11" s="182"/>
      <c r="O11" s="182"/>
      <c r="P11" s="182"/>
      <c r="Q11" s="243">
        <v>0.26827507370194331</v>
      </c>
      <c r="R11" s="182">
        <v>0.20165368320349869</v>
      </c>
      <c r="S11" s="182">
        <v>0.181424883120508</v>
      </c>
      <c r="T11" s="182">
        <v>0.1846724389898958</v>
      </c>
      <c r="U11" s="182">
        <v>0.3952280161631711</v>
      </c>
      <c r="V11" s="182">
        <v>0.25263893743446347</v>
      </c>
      <c r="W11" s="182">
        <v>0.21874434593812195</v>
      </c>
      <c r="X11" s="182">
        <v>0.25162280184114244</v>
      </c>
      <c r="Y11" s="182">
        <v>0.27185100473778795</v>
      </c>
      <c r="Z11" s="182">
        <v>0.233669443226655</v>
      </c>
      <c r="AA11" s="182">
        <v>0.22959218065385914</v>
      </c>
      <c r="AB11" s="182">
        <v>0.1443722583152868</v>
      </c>
      <c r="AC11" s="182">
        <v>0.19771863117870722</v>
      </c>
      <c r="AD11" s="182">
        <v>0.23000151217299258</v>
      </c>
      <c r="AE11" s="182">
        <v>0.21454256406374198</v>
      </c>
      <c r="AF11" s="162"/>
      <c r="AG11" s="153"/>
    </row>
    <row r="12" spans="1:33" ht="15" customHeight="1" x14ac:dyDescent="0.2">
      <c r="A12" s="179"/>
      <c r="B12" s="334"/>
      <c r="C12" s="335"/>
      <c r="D12" s="158" t="s">
        <v>73</v>
      </c>
      <c r="E12" s="20">
        <v>8</v>
      </c>
      <c r="F12" s="119">
        <v>0.28999999999999998</v>
      </c>
      <c r="G12" s="182"/>
      <c r="H12" s="182"/>
      <c r="I12" s="182"/>
      <c r="J12" s="182">
        <v>0.21373160298702237</v>
      </c>
      <c r="K12" s="182">
        <v>0.2774000045790691</v>
      </c>
      <c r="L12" s="182">
        <v>0.1922085501677934</v>
      </c>
      <c r="M12" s="182">
        <v>0.11770623742454729</v>
      </c>
      <c r="N12" s="182">
        <v>0.26565284543186407</v>
      </c>
      <c r="O12" s="182">
        <v>0.45131139723414404</v>
      </c>
      <c r="P12" s="182">
        <v>0.12643848838072611</v>
      </c>
      <c r="Q12" s="243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62"/>
      <c r="AG12" s="153"/>
    </row>
    <row r="13" spans="1:33" ht="15" hidden="1" customHeight="1" x14ac:dyDescent="0.2">
      <c r="A13" s="179" t="s">
        <v>2</v>
      </c>
      <c r="B13" s="334"/>
      <c r="C13" s="335"/>
      <c r="D13" s="158" t="s">
        <v>74</v>
      </c>
      <c r="E13" s="20">
        <v>9</v>
      </c>
      <c r="F13" s="159">
        <v>6.3399999999999998E-2</v>
      </c>
      <c r="G13" s="177">
        <v>7.8991374454059071E-2</v>
      </c>
      <c r="H13" s="177">
        <v>7.2807373210699411E-2</v>
      </c>
      <c r="I13" s="177"/>
      <c r="J13" s="177"/>
      <c r="K13" s="177"/>
      <c r="L13" s="177"/>
      <c r="M13" s="177"/>
      <c r="N13" s="177"/>
      <c r="O13" s="177"/>
      <c r="P13" s="177"/>
      <c r="Q13" s="177">
        <v>0.10617197526542994</v>
      </c>
      <c r="R13" s="177">
        <v>7.2844061773951085E-2</v>
      </c>
      <c r="S13" s="177">
        <v>0.14513990649640637</v>
      </c>
      <c r="T13" s="177">
        <v>2.8599714002859968E-2</v>
      </c>
      <c r="U13" s="177">
        <v>9.338721057020076E-2</v>
      </c>
      <c r="V13" s="177">
        <v>2.9080740999650474E-2</v>
      </c>
      <c r="W13" s="177">
        <v>6.8210602496833722E-2</v>
      </c>
      <c r="X13" s="177">
        <v>0.1626342499704945</v>
      </c>
      <c r="Y13" s="177">
        <v>5.6635625987039161E-2</v>
      </c>
      <c r="Z13" s="177">
        <v>3.6095279848019871E-2</v>
      </c>
      <c r="AA13" s="177">
        <v>5.1702055948769803E-2</v>
      </c>
      <c r="AB13" s="177">
        <v>3.1761896829363097E-2</v>
      </c>
      <c r="AC13" s="177">
        <v>3.1550845400857536E-2</v>
      </c>
      <c r="AD13" s="177">
        <v>9.3376682292454258E-2</v>
      </c>
      <c r="AE13" s="177">
        <v>4.6254589499981076E-2</v>
      </c>
      <c r="AF13" s="162"/>
      <c r="AG13" s="153"/>
    </row>
    <row r="14" spans="1:33" ht="15" customHeight="1" x14ac:dyDescent="0.2">
      <c r="A14" s="179"/>
      <c r="B14" s="334"/>
      <c r="C14" s="178"/>
      <c r="D14" s="158" t="s">
        <v>75</v>
      </c>
      <c r="E14" s="20">
        <v>10</v>
      </c>
      <c r="F14" s="159">
        <v>0.05</v>
      </c>
      <c r="G14" s="177"/>
      <c r="H14" s="177"/>
      <c r="I14" s="177"/>
      <c r="J14" s="177">
        <v>5.2780395852968891E-2</v>
      </c>
      <c r="K14" s="177">
        <v>2.619227511047004E-2</v>
      </c>
      <c r="L14" s="177">
        <v>0.10116239482515442</v>
      </c>
      <c r="M14" s="177">
        <v>3.9235412474849095E-2</v>
      </c>
      <c r="N14" s="177">
        <v>1.2355946299156468E-2</v>
      </c>
      <c r="O14" s="177">
        <v>3.4716261325703386E-2</v>
      </c>
      <c r="P14" s="177">
        <v>7.7214344049298389E-2</v>
      </c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62"/>
      <c r="AG14" s="153"/>
    </row>
    <row r="15" spans="1:33" ht="15" customHeight="1" x14ac:dyDescent="0.2">
      <c r="A15" s="179"/>
      <c r="B15" s="334"/>
      <c r="C15" s="178"/>
      <c r="D15" s="158" t="s">
        <v>76</v>
      </c>
      <c r="E15" s="20">
        <v>11</v>
      </c>
      <c r="F15" s="119">
        <v>0.95</v>
      </c>
      <c r="G15" s="177"/>
      <c r="H15" s="177"/>
      <c r="I15" s="177"/>
      <c r="J15" s="245">
        <v>0.97709923664122134</v>
      </c>
      <c r="K15" s="245">
        <v>0.99719887955182074</v>
      </c>
      <c r="L15" s="245">
        <v>0.98305084745762716</v>
      </c>
      <c r="M15" s="245">
        <v>0.96654275092936803</v>
      </c>
      <c r="N15" s="245">
        <v>0.94392523364485981</v>
      </c>
      <c r="O15" s="245">
        <v>0.94323144104803491</v>
      </c>
      <c r="P15" s="245">
        <v>0.99076212471131642</v>
      </c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62"/>
      <c r="AG15" s="153"/>
    </row>
    <row r="16" spans="1:33" ht="15" hidden="1" customHeight="1" x14ac:dyDescent="0.2">
      <c r="A16" s="184" t="s">
        <v>2</v>
      </c>
      <c r="B16" s="334"/>
      <c r="C16" s="335" t="s">
        <v>77</v>
      </c>
      <c r="D16" s="158" t="s">
        <v>78</v>
      </c>
      <c r="E16" s="20">
        <v>12</v>
      </c>
      <c r="F16" s="119">
        <v>0.95</v>
      </c>
      <c r="G16" s="173">
        <v>0.98118576403635438</v>
      </c>
      <c r="H16" s="173">
        <v>0.98903859328613841</v>
      </c>
      <c r="I16" s="173"/>
      <c r="J16" s="245">
        <v>0.64694656488549618</v>
      </c>
      <c r="K16" s="245">
        <v>0.74789915966386555</v>
      </c>
      <c r="L16" s="245">
        <v>0.96045197740112997</v>
      </c>
      <c r="M16" s="245">
        <v>0.33828996282527879</v>
      </c>
      <c r="N16" s="245">
        <v>0.93457943925233644</v>
      </c>
      <c r="O16" s="245">
        <v>0.88646288209606983</v>
      </c>
      <c r="P16" s="245">
        <v>0.42956120092378752</v>
      </c>
      <c r="Q16" s="173">
        <v>0.98913043478260865</v>
      </c>
      <c r="R16" s="173">
        <v>0.99598393574297184</v>
      </c>
      <c r="S16" s="173">
        <v>1</v>
      </c>
      <c r="T16" s="173">
        <v>1</v>
      </c>
      <c r="U16" s="173">
        <v>0.95486111111111116</v>
      </c>
      <c r="V16" s="173">
        <v>1</v>
      </c>
      <c r="W16" s="173">
        <v>1</v>
      </c>
      <c r="X16" s="173">
        <v>1</v>
      </c>
      <c r="Y16" s="173">
        <v>0.99029126213592233</v>
      </c>
      <c r="Z16" s="173">
        <v>0.98449612403100772</v>
      </c>
      <c r="AA16" s="173">
        <v>0.97899159663865543</v>
      </c>
      <c r="AB16" s="173">
        <v>1</v>
      </c>
      <c r="AC16" s="173">
        <v>1</v>
      </c>
      <c r="AD16" s="173">
        <v>0.97665369649805445</v>
      </c>
      <c r="AE16" s="173">
        <v>1</v>
      </c>
      <c r="AF16" s="168"/>
      <c r="AG16" s="153"/>
    </row>
    <row r="17" spans="1:39" ht="15" customHeight="1" x14ac:dyDescent="0.2">
      <c r="A17" s="179" t="s">
        <v>2</v>
      </c>
      <c r="B17" s="334"/>
      <c r="C17" s="335"/>
      <c r="D17" s="158" t="s">
        <v>79</v>
      </c>
      <c r="E17" s="20">
        <v>13</v>
      </c>
      <c r="F17" s="119">
        <v>0.8</v>
      </c>
      <c r="G17" s="181">
        <v>0.88950855417645081</v>
      </c>
      <c r="H17" s="181">
        <v>0.89717647058823524</v>
      </c>
      <c r="I17" s="181"/>
      <c r="J17" s="177">
        <v>0.92292682926829273</v>
      </c>
      <c r="K17" s="177">
        <v>0.87205387205387208</v>
      </c>
      <c r="L17" s="177">
        <v>0.93103448275862066</v>
      </c>
      <c r="M17" s="177">
        <v>0.92777777777777781</v>
      </c>
      <c r="N17" s="177">
        <v>0.94117647058823528</v>
      </c>
      <c r="O17" s="177">
        <v>0.91463414634146345</v>
      </c>
      <c r="P17" s="177">
        <v>0.98290598290598286</v>
      </c>
      <c r="Q17" s="181">
        <v>0.92561983471074383</v>
      </c>
      <c r="R17" s="181">
        <v>0.90977443609022557</v>
      </c>
      <c r="S17" s="181">
        <v>0.98882681564245811</v>
      </c>
      <c r="T17" s="181">
        <v>0.96652719665271969</v>
      </c>
      <c r="U17" s="181">
        <v>0.76237623762376239</v>
      </c>
      <c r="V17" s="181">
        <v>0.98611111111111116</v>
      </c>
      <c r="W17" s="181">
        <v>0.88073394495412849</v>
      </c>
      <c r="X17" s="181">
        <v>0.90322580645161288</v>
      </c>
      <c r="Y17" s="181">
        <v>0.88500000000000001</v>
      </c>
      <c r="Z17" s="181">
        <v>0.97029702970297027</v>
      </c>
      <c r="AA17" s="181">
        <v>0.90308370044052866</v>
      </c>
      <c r="AB17" s="181">
        <v>0.9907407407407407</v>
      </c>
      <c r="AC17" s="181">
        <v>0.97014925373134331</v>
      </c>
      <c r="AD17" s="181">
        <v>0.92418772563176899</v>
      </c>
      <c r="AE17" s="181">
        <v>0.96761133603238869</v>
      </c>
      <c r="AF17" s="174"/>
      <c r="AG17" s="174"/>
    </row>
    <row r="18" spans="1:39" ht="15" hidden="1" customHeight="1" x14ac:dyDescent="0.2">
      <c r="A18" s="184" t="s">
        <v>2</v>
      </c>
      <c r="B18" s="334"/>
      <c r="C18" s="335"/>
      <c r="D18" s="158" t="s">
        <v>80</v>
      </c>
      <c r="E18" s="20">
        <v>14</v>
      </c>
      <c r="F18" s="119">
        <v>0.9</v>
      </c>
      <c r="G18" s="52">
        <v>0.9204025100344847</v>
      </c>
      <c r="H18" s="52">
        <v>0.95829260345389378</v>
      </c>
      <c r="I18" s="52"/>
      <c r="J18" s="244"/>
      <c r="K18" s="244"/>
      <c r="L18" s="244"/>
      <c r="M18" s="244"/>
      <c r="N18" s="244"/>
      <c r="O18" s="244"/>
      <c r="P18" s="244"/>
      <c r="Q18" s="52">
        <v>0.97315436241610742</v>
      </c>
      <c r="R18" s="52">
        <v>0.98369565217391308</v>
      </c>
      <c r="S18" s="52">
        <v>0.97979797979797978</v>
      </c>
      <c r="T18" s="52">
        <v>0.97549019607843135</v>
      </c>
      <c r="U18" s="52">
        <v>0.85616438356164382</v>
      </c>
      <c r="V18" s="52">
        <v>0.9921875</v>
      </c>
      <c r="W18" s="52">
        <v>0.97499999999999998</v>
      </c>
      <c r="X18" s="52">
        <v>0.94594594594594594</v>
      </c>
      <c r="Y18" s="52">
        <v>0.96875</v>
      </c>
      <c r="Z18" s="52">
        <v>0.96341463414634143</v>
      </c>
      <c r="AA18" s="52">
        <v>0.86904761904761907</v>
      </c>
      <c r="AB18" s="52">
        <v>0.98837209302325579</v>
      </c>
      <c r="AC18" s="52">
        <v>0.99415204678362568</v>
      </c>
      <c r="AD18" s="52">
        <v>0.96153846153846156</v>
      </c>
      <c r="AE18" s="52">
        <v>0.96</v>
      </c>
      <c r="AF18" s="168"/>
      <c r="AG18" s="153"/>
    </row>
    <row r="19" spans="1:39" ht="15" customHeight="1" x14ac:dyDescent="0.2">
      <c r="A19" s="184"/>
      <c r="B19" s="334"/>
      <c r="C19" s="335"/>
      <c r="D19" s="158" t="s">
        <v>15</v>
      </c>
      <c r="E19" s="20">
        <v>15</v>
      </c>
      <c r="F19" s="119">
        <v>0.9</v>
      </c>
      <c r="G19" s="52"/>
      <c r="H19" s="52"/>
      <c r="I19" s="52"/>
      <c r="J19" s="244">
        <v>0.93542435424354242</v>
      </c>
      <c r="K19" s="244">
        <v>0.89570552147239269</v>
      </c>
      <c r="L19" s="244">
        <v>1</v>
      </c>
      <c r="M19" s="244">
        <v>0.94545454545454544</v>
      </c>
      <c r="N19" s="244">
        <v>0.93333333333333335</v>
      </c>
      <c r="O19" s="244">
        <v>0.90769230769230769</v>
      </c>
      <c r="P19" s="244">
        <v>0.99090909090909096</v>
      </c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168"/>
      <c r="AG19" s="153"/>
    </row>
    <row r="20" spans="1:39" ht="15" hidden="1" customHeight="1" x14ac:dyDescent="0.2">
      <c r="A20" s="179" t="s">
        <v>2</v>
      </c>
      <c r="B20" s="334"/>
      <c r="C20" s="335"/>
      <c r="D20" s="158" t="s">
        <v>81</v>
      </c>
      <c r="E20" s="20">
        <v>16</v>
      </c>
      <c r="F20" s="119">
        <v>0.9</v>
      </c>
      <c r="G20" s="168">
        <v>0.81685338528981977</v>
      </c>
      <c r="H20" s="168">
        <v>0.75783234546994072</v>
      </c>
      <c r="I20" s="168"/>
      <c r="J20" s="168"/>
      <c r="K20" s="168"/>
      <c r="L20" s="168"/>
      <c r="M20" s="168"/>
      <c r="N20" s="168"/>
      <c r="O20" s="168"/>
      <c r="P20" s="168"/>
      <c r="Q20" s="168">
        <v>0.98571428571428577</v>
      </c>
      <c r="R20" s="168">
        <v>0.74390243902439024</v>
      </c>
      <c r="S20" s="168">
        <v>1</v>
      </c>
      <c r="T20" s="168">
        <v>0.91428571428571426</v>
      </c>
      <c r="U20" s="168">
        <v>0.5357142857142857</v>
      </c>
      <c r="V20" s="168">
        <v>0.9375</v>
      </c>
      <c r="W20" s="168">
        <v>0.72413793103448276</v>
      </c>
      <c r="X20" s="168">
        <v>0.89622641509433965</v>
      </c>
      <c r="Y20" s="168">
        <v>0.625</v>
      </c>
      <c r="Z20" s="168">
        <v>1</v>
      </c>
      <c r="AA20" s="168">
        <v>1</v>
      </c>
      <c r="AB20" s="168">
        <v>1</v>
      </c>
      <c r="AC20" s="168">
        <v>0.8666666666666667</v>
      </c>
      <c r="AD20" s="168">
        <v>0.86315789473684212</v>
      </c>
      <c r="AE20" s="168">
        <v>1</v>
      </c>
      <c r="AF20" s="168"/>
      <c r="AG20" s="168"/>
    </row>
    <row r="21" spans="1:39" ht="15" customHeight="1" x14ac:dyDescent="0.2">
      <c r="A21" s="179"/>
      <c r="B21" s="253"/>
      <c r="C21" s="178"/>
      <c r="D21" s="158" t="s">
        <v>16</v>
      </c>
      <c r="E21" s="20">
        <v>17</v>
      </c>
      <c r="F21" s="119">
        <v>0.9</v>
      </c>
      <c r="G21" s="168"/>
      <c r="H21" s="168"/>
      <c r="I21" s="168"/>
      <c r="J21" s="168">
        <v>0.98351648351648346</v>
      </c>
      <c r="K21" s="168">
        <v>0.90909090909090906</v>
      </c>
      <c r="L21" s="168">
        <v>1</v>
      </c>
      <c r="M21" s="168">
        <v>1</v>
      </c>
      <c r="N21" s="168">
        <v>1</v>
      </c>
      <c r="O21" s="168">
        <v>1</v>
      </c>
      <c r="P21" s="168">
        <v>0.98750000000000004</v>
      </c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254"/>
      <c r="AG21" s="168"/>
    </row>
    <row r="22" spans="1:39" ht="15" hidden="1" customHeight="1" x14ac:dyDescent="0.2">
      <c r="A22" s="179" t="s">
        <v>2</v>
      </c>
      <c r="B22" s="334"/>
      <c r="C22" s="178"/>
      <c r="D22" s="158" t="s">
        <v>82</v>
      </c>
      <c r="E22" s="20">
        <v>18</v>
      </c>
      <c r="F22" s="119">
        <v>0.9</v>
      </c>
      <c r="G22" s="175">
        <v>0.85860979462875198</v>
      </c>
      <c r="H22" s="175">
        <v>0.89039312678989846</v>
      </c>
      <c r="I22" s="175"/>
      <c r="J22" s="255">
        <v>0.91506849315068495</v>
      </c>
      <c r="K22" s="255">
        <v>0.89224137931034486</v>
      </c>
      <c r="L22" s="255">
        <v>0.9726027397260274</v>
      </c>
      <c r="M22" s="255">
        <v>0.94285714285714284</v>
      </c>
      <c r="N22" s="255">
        <v>0.86046511627906974</v>
      </c>
      <c r="O22" s="255">
        <v>0.90109890109890112</v>
      </c>
      <c r="P22" s="255">
        <v>0.94615384615384612</v>
      </c>
      <c r="Q22" s="175">
        <v>0.87428571428571433</v>
      </c>
      <c r="R22" s="175">
        <v>0.87665198237885467</v>
      </c>
      <c r="S22" s="175">
        <v>0.85</v>
      </c>
      <c r="T22" s="175">
        <v>0.95132743362831862</v>
      </c>
      <c r="U22" s="175">
        <v>0.84033613445378152</v>
      </c>
      <c r="V22" s="175">
        <v>0.91176470588235292</v>
      </c>
      <c r="W22" s="175">
        <v>0.89010989010989006</v>
      </c>
      <c r="X22" s="175">
        <v>0.87421383647798745</v>
      </c>
      <c r="Y22" s="175">
        <v>0.89119170984455964</v>
      </c>
      <c r="Z22" s="175">
        <v>0.93965517241379315</v>
      </c>
      <c r="AA22" s="175">
        <v>0.89230769230769225</v>
      </c>
      <c r="AB22" s="175">
        <v>0.94897959183673475</v>
      </c>
      <c r="AC22" s="175">
        <v>0.95454545454545459</v>
      </c>
      <c r="AD22" s="175">
        <v>0.86956521739130432</v>
      </c>
      <c r="AE22" s="175">
        <v>0.92727272727272725</v>
      </c>
      <c r="AF22" s="162"/>
      <c r="AG22" s="153"/>
    </row>
    <row r="23" spans="1:39" ht="15" customHeight="1" x14ac:dyDescent="0.2">
      <c r="A23" s="179"/>
      <c r="B23" s="334"/>
      <c r="C23" s="178"/>
      <c r="D23" s="158" t="s">
        <v>17</v>
      </c>
      <c r="E23" s="20">
        <v>19</v>
      </c>
      <c r="F23" s="119">
        <v>0.9</v>
      </c>
      <c r="G23" s="175"/>
      <c r="H23" s="175"/>
      <c r="I23" s="175"/>
      <c r="J23" s="255">
        <v>0.91111111111111109</v>
      </c>
      <c r="K23" s="255">
        <v>0.89575289575289574</v>
      </c>
      <c r="L23" s="255">
        <v>0.94186046511627908</v>
      </c>
      <c r="M23" s="255">
        <v>0.91764705882352937</v>
      </c>
      <c r="N23" s="255">
        <v>0.8666666666666667</v>
      </c>
      <c r="O23" s="255">
        <v>0.89898989898989901</v>
      </c>
      <c r="P23" s="255">
        <v>0.94890510948905105</v>
      </c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62"/>
      <c r="AG23" s="153"/>
    </row>
    <row r="24" spans="1:39" ht="15" customHeight="1" x14ac:dyDescent="0.2">
      <c r="A24" s="179" t="s">
        <v>2</v>
      </c>
      <c r="B24" s="334"/>
      <c r="C24" s="334" t="s">
        <v>83</v>
      </c>
      <c r="D24" s="118" t="s">
        <v>18</v>
      </c>
      <c r="E24" s="20">
        <v>20</v>
      </c>
      <c r="F24" s="119">
        <v>0.86</v>
      </c>
      <c r="G24" s="176">
        <v>0.87751337391625162</v>
      </c>
      <c r="H24" s="176">
        <v>0.87929433611884866</v>
      </c>
      <c r="I24" s="176"/>
      <c r="J24" s="246">
        <v>0.89679715302491103</v>
      </c>
      <c r="K24" s="246">
        <v>0.86956521739130432</v>
      </c>
      <c r="L24" s="246">
        <v>0.89189189189189189</v>
      </c>
      <c r="M24" s="246">
        <v>0.90196078431372551</v>
      </c>
      <c r="N24" s="246">
        <v>0.8571428571428571</v>
      </c>
      <c r="O24" s="246">
        <v>0.92592592592592593</v>
      </c>
      <c r="P24" s="246">
        <v>0.91111111111111109</v>
      </c>
      <c r="Q24" s="176">
        <v>0.84375</v>
      </c>
      <c r="R24" s="176">
        <v>0.890625</v>
      </c>
      <c r="S24" s="176">
        <v>0.8125</v>
      </c>
      <c r="T24" s="176">
        <v>0.8441558441558441</v>
      </c>
      <c r="U24" s="176">
        <v>0.8571428571428571</v>
      </c>
      <c r="V24" s="176">
        <v>0.90909090909090906</v>
      </c>
      <c r="W24" s="176">
        <v>0.9242424242424242</v>
      </c>
      <c r="X24" s="176">
        <v>0.92063492063492058</v>
      </c>
      <c r="Y24" s="176">
        <v>0.79411764705882348</v>
      </c>
      <c r="Z24" s="176">
        <v>0.77777777777777779</v>
      </c>
      <c r="AA24" s="176">
        <v>0.89610389610389607</v>
      </c>
      <c r="AB24" s="176">
        <v>0.75</v>
      </c>
      <c r="AC24" s="176">
        <v>0.92307692307692313</v>
      </c>
      <c r="AD24" s="176">
        <v>0.91666666666666663</v>
      </c>
      <c r="AE24" s="176">
        <v>0.82692307692307687</v>
      </c>
      <c r="AF24" s="166"/>
      <c r="AG24" s="154"/>
      <c r="AH24" s="164"/>
      <c r="AI24" s="164"/>
      <c r="AJ24" s="164"/>
      <c r="AK24" s="164"/>
      <c r="AL24" s="164"/>
      <c r="AM24" s="164"/>
    </row>
    <row r="25" spans="1:39" ht="15" customHeight="1" x14ac:dyDescent="0.2">
      <c r="A25" s="179" t="s">
        <v>2</v>
      </c>
      <c r="B25" s="334"/>
      <c r="C25" s="334"/>
      <c r="D25" s="118" t="s">
        <v>19</v>
      </c>
      <c r="E25" s="20">
        <v>21</v>
      </c>
      <c r="F25" s="119">
        <v>0.75</v>
      </c>
      <c r="G25" s="176">
        <v>0.77762403637082422</v>
      </c>
      <c r="H25" s="176">
        <v>0.84578079534432593</v>
      </c>
      <c r="I25" s="176"/>
      <c r="J25" s="246">
        <v>0.71345029239766078</v>
      </c>
      <c r="K25" s="246">
        <v>0.72916666666666663</v>
      </c>
      <c r="L25" s="246">
        <v>0.76470588235294112</v>
      </c>
      <c r="M25" s="246">
        <v>0.44444444444444442</v>
      </c>
      <c r="N25" s="246">
        <v>0.25</v>
      </c>
      <c r="O25" s="246">
        <v>0.80701754385964908</v>
      </c>
      <c r="P25" s="246">
        <v>0.70370370370370372</v>
      </c>
      <c r="Q25" s="176">
        <v>0.92727272727272725</v>
      </c>
      <c r="R25" s="176">
        <v>0.98461538461538467</v>
      </c>
      <c r="S25" s="176">
        <v>0.90476190476190477</v>
      </c>
      <c r="T25" s="176">
        <v>0.91860465116279066</v>
      </c>
      <c r="U25" s="176">
        <v>0.77192982456140347</v>
      </c>
      <c r="V25" s="176">
        <v>0.80701754385964908</v>
      </c>
      <c r="W25" s="176">
        <v>0.96</v>
      </c>
      <c r="X25" s="176">
        <v>0.8571428571428571</v>
      </c>
      <c r="Y25" s="176">
        <v>0.86111111111111116</v>
      </c>
      <c r="Z25" s="176">
        <v>0.88095238095238093</v>
      </c>
      <c r="AA25" s="176">
        <v>0.57999999999999996</v>
      </c>
      <c r="AB25" s="176">
        <v>0.90476190476190477</v>
      </c>
      <c r="AC25" s="176">
        <v>0.81395348837209303</v>
      </c>
      <c r="AD25" s="176">
        <v>0.78260869565217395</v>
      </c>
      <c r="AE25" s="176">
        <v>0.82978723404255317</v>
      </c>
      <c r="AF25" s="176"/>
      <c r="AG25" s="153"/>
    </row>
    <row r="26" spans="1:39" ht="15" customHeight="1" x14ac:dyDescent="0.2">
      <c r="A26" s="185" t="s">
        <v>3</v>
      </c>
      <c r="B26" s="153"/>
      <c r="C26" s="331" t="s">
        <v>84</v>
      </c>
      <c r="D26" s="180" t="s">
        <v>85</v>
      </c>
      <c r="E26" s="20">
        <v>22</v>
      </c>
      <c r="F26" s="119">
        <v>0.86</v>
      </c>
      <c r="G26" s="183">
        <v>0.8152866242038217</v>
      </c>
      <c r="H26" s="183">
        <v>0.91666666666666663</v>
      </c>
      <c r="I26" s="183"/>
      <c r="J26" s="245">
        <v>0.72727272727272729</v>
      </c>
      <c r="K26" s="245">
        <v>1</v>
      </c>
      <c r="L26" s="245"/>
      <c r="M26" s="245">
        <v>1</v>
      </c>
      <c r="N26" s="245">
        <v>1</v>
      </c>
      <c r="O26" s="245">
        <v>1</v>
      </c>
      <c r="P26" s="245">
        <v>0.5</v>
      </c>
      <c r="Q26" s="183">
        <v>1</v>
      </c>
      <c r="R26" s="183"/>
      <c r="S26" s="183">
        <v>1</v>
      </c>
      <c r="T26" s="183">
        <v>1</v>
      </c>
      <c r="U26" s="183">
        <v>1</v>
      </c>
      <c r="V26" s="183">
        <v>1</v>
      </c>
      <c r="W26" s="183">
        <v>1</v>
      </c>
      <c r="X26" s="183"/>
      <c r="Y26" s="183">
        <v>1</v>
      </c>
      <c r="Z26" s="183">
        <v>1</v>
      </c>
      <c r="AA26" s="183"/>
      <c r="AB26" s="183"/>
      <c r="AC26" s="183">
        <v>1</v>
      </c>
      <c r="AD26" s="183">
        <v>1</v>
      </c>
      <c r="AE26" s="183">
        <v>1</v>
      </c>
      <c r="AF26" s="176"/>
      <c r="AG26" s="153"/>
    </row>
    <row r="27" spans="1:39" ht="15" customHeight="1" x14ac:dyDescent="0.2">
      <c r="A27" s="185" t="s">
        <v>3</v>
      </c>
      <c r="B27" s="153"/>
      <c r="C27" s="332"/>
      <c r="D27" s="180" t="s">
        <v>86</v>
      </c>
      <c r="E27" s="20">
        <v>23</v>
      </c>
      <c r="F27" s="119">
        <v>0.96</v>
      </c>
      <c r="G27" s="173">
        <v>0.98</v>
      </c>
      <c r="H27" s="173">
        <v>0.92307692307692313</v>
      </c>
      <c r="I27" s="173"/>
      <c r="J27" s="245">
        <v>1</v>
      </c>
      <c r="K27" s="245"/>
      <c r="L27" s="168"/>
      <c r="M27" s="245"/>
      <c r="N27" s="245">
        <v>1</v>
      </c>
      <c r="O27" s="168"/>
      <c r="P27" s="245"/>
      <c r="Q27" s="173"/>
      <c r="R27" s="173">
        <v>1</v>
      </c>
      <c r="S27" s="173"/>
      <c r="T27" s="173">
        <v>1</v>
      </c>
      <c r="U27" s="173"/>
      <c r="V27" s="173"/>
      <c r="W27" s="173">
        <v>1</v>
      </c>
      <c r="X27" s="173">
        <v>0</v>
      </c>
      <c r="Y27" s="173"/>
      <c r="Z27" s="173">
        <v>1</v>
      </c>
      <c r="AA27" s="173"/>
      <c r="AB27" s="173">
        <v>1</v>
      </c>
      <c r="AC27" s="173"/>
      <c r="AD27" s="173"/>
      <c r="AE27" s="173"/>
      <c r="AF27" s="176"/>
      <c r="AG27" s="153"/>
    </row>
    <row r="28" spans="1:39" ht="15" customHeight="1" x14ac:dyDescent="0.2">
      <c r="A28" s="185" t="s">
        <v>3</v>
      </c>
      <c r="B28" s="153"/>
      <c r="C28" s="332"/>
      <c r="D28" s="180" t="s">
        <v>87</v>
      </c>
      <c r="E28" s="20">
        <v>24</v>
      </c>
      <c r="F28" s="119">
        <v>0.78</v>
      </c>
      <c r="G28" s="173">
        <v>0.89351851851851849</v>
      </c>
      <c r="H28" s="173">
        <v>0.92105263157894735</v>
      </c>
      <c r="I28" s="173"/>
      <c r="J28" s="245">
        <v>1</v>
      </c>
      <c r="K28" s="245">
        <v>1</v>
      </c>
      <c r="L28" s="245"/>
      <c r="M28" s="245">
        <v>1</v>
      </c>
      <c r="N28" s="245"/>
      <c r="O28" s="245"/>
      <c r="P28" s="245"/>
      <c r="Q28" s="173">
        <v>1</v>
      </c>
      <c r="R28" s="173"/>
      <c r="S28" s="173">
        <v>0.5</v>
      </c>
      <c r="T28" s="173">
        <v>0.8</v>
      </c>
      <c r="U28" s="173">
        <v>1</v>
      </c>
      <c r="V28" s="173">
        <v>1</v>
      </c>
      <c r="W28" s="173"/>
      <c r="X28" s="173">
        <v>1</v>
      </c>
      <c r="Y28" s="173"/>
      <c r="Z28" s="173">
        <v>1</v>
      </c>
      <c r="AA28" s="173">
        <v>1</v>
      </c>
      <c r="AB28" s="173">
        <v>1</v>
      </c>
      <c r="AC28" s="173"/>
      <c r="AD28" s="173"/>
      <c r="AE28" s="173"/>
      <c r="AF28" s="176"/>
      <c r="AG28" s="153"/>
    </row>
    <row r="29" spans="1:39" ht="15" customHeight="1" x14ac:dyDescent="0.2">
      <c r="A29" s="185" t="s">
        <v>3</v>
      </c>
      <c r="B29" s="153"/>
      <c r="C29" s="333"/>
      <c r="D29" s="180" t="s">
        <v>88</v>
      </c>
      <c r="E29" s="20">
        <v>25</v>
      </c>
      <c r="F29" s="119">
        <v>0.97</v>
      </c>
      <c r="G29" s="173">
        <v>0.88278388278388276</v>
      </c>
      <c r="H29" s="173">
        <v>0.91836734693877553</v>
      </c>
      <c r="I29" s="173"/>
      <c r="J29" s="245">
        <v>1</v>
      </c>
      <c r="K29" s="245">
        <v>1</v>
      </c>
      <c r="L29" s="245">
        <v>1</v>
      </c>
      <c r="M29" s="245">
        <v>1</v>
      </c>
      <c r="N29" s="245">
        <v>1</v>
      </c>
      <c r="O29" s="245"/>
      <c r="P29" s="245"/>
      <c r="Q29" s="173">
        <v>1</v>
      </c>
      <c r="R29" s="173"/>
      <c r="S29" s="173">
        <v>0.66666666666666663</v>
      </c>
      <c r="T29" s="173">
        <v>0.8</v>
      </c>
      <c r="U29" s="173">
        <v>1</v>
      </c>
      <c r="V29" s="173">
        <v>1</v>
      </c>
      <c r="W29" s="173"/>
      <c r="X29" s="173">
        <v>1</v>
      </c>
      <c r="Y29" s="173"/>
      <c r="Z29" s="173">
        <v>1</v>
      </c>
      <c r="AA29" s="173">
        <v>1</v>
      </c>
      <c r="AB29" s="173">
        <v>1</v>
      </c>
      <c r="AC29" s="173">
        <v>0.5</v>
      </c>
      <c r="AD29" s="173"/>
      <c r="AE29" s="173"/>
      <c r="AF29" s="176"/>
      <c r="AG29" s="153"/>
    </row>
  </sheetData>
  <mergeCells count="20">
    <mergeCell ref="AF3:AG3"/>
    <mergeCell ref="A2:A3"/>
    <mergeCell ref="B2:B3"/>
    <mergeCell ref="C2:C3"/>
    <mergeCell ref="D2:D3"/>
    <mergeCell ref="E2:E3"/>
    <mergeCell ref="F2:F3"/>
    <mergeCell ref="G2:G3"/>
    <mergeCell ref="H2:J2"/>
    <mergeCell ref="K2:P2"/>
    <mergeCell ref="Q2:Y2"/>
    <mergeCell ref="Z2:AE2"/>
    <mergeCell ref="C26:C29"/>
    <mergeCell ref="B4:B10"/>
    <mergeCell ref="C5:C10"/>
    <mergeCell ref="B11:B20"/>
    <mergeCell ref="C11:C13"/>
    <mergeCell ref="C16:C20"/>
    <mergeCell ref="B22:B25"/>
    <mergeCell ref="C24:C25"/>
  </mergeCells>
  <conditionalFormatting sqref="G8">
    <cfRule type="cellIs" dxfId="1453" priority="4446" operator="equal">
      <formula>"-"</formula>
    </cfRule>
  </conditionalFormatting>
  <conditionalFormatting sqref="G11:G12">
    <cfRule type="cellIs" dxfId="1452" priority="4351" operator="greaterThan">
      <formula>0.28</formula>
    </cfRule>
    <cfRule type="cellIs" dxfId="1451" priority="4352" operator="lessThanOrEqual">
      <formula>0.28</formula>
    </cfRule>
  </conditionalFormatting>
  <conditionalFormatting sqref="G13:G15">
    <cfRule type="cellIs" dxfId="1450" priority="4248" operator="lessThanOrEqual">
      <formula>0.069</formula>
    </cfRule>
    <cfRule type="cellIs" dxfId="1449" priority="4247" operator="greaterThan">
      <formula>0.069</formula>
    </cfRule>
  </conditionalFormatting>
  <conditionalFormatting sqref="G17">
    <cfRule type="cellIs" dxfId="1448" priority="4362" operator="greaterThanOrEqual">
      <formula>0.8</formula>
    </cfRule>
    <cfRule type="cellIs" dxfId="1447" priority="4361" operator="lessThan">
      <formula>0.8</formula>
    </cfRule>
  </conditionalFormatting>
  <conditionalFormatting sqref="G18:G19">
    <cfRule type="cellIs" dxfId="1446" priority="4431" operator="lessThan">
      <formula>0.8</formula>
    </cfRule>
    <cfRule type="cellIs" dxfId="1445" priority="4432" operator="greaterThanOrEqual">
      <formula>0.8</formula>
    </cfRule>
  </conditionalFormatting>
  <conditionalFormatting sqref="G20:G21">
    <cfRule type="cellIs" dxfId="1444" priority="4416" operator="equal">
      <formula>"-"</formula>
    </cfRule>
  </conditionalFormatting>
  <conditionalFormatting sqref="G24:G25">
    <cfRule type="containsBlanks" dxfId="1443" priority="4388">
      <formula>LEN(TRIM(G24))=0</formula>
    </cfRule>
  </conditionalFormatting>
  <conditionalFormatting sqref="G6:I6 Q6:AE6">
    <cfRule type="cellIs" dxfId="1442" priority="4355" operator="greaterThanOrEqual">
      <formula>0.95</formula>
    </cfRule>
    <cfRule type="cellIs" dxfId="1441" priority="4354" operator="lessThan">
      <formula>0.95</formula>
    </cfRule>
  </conditionalFormatting>
  <conditionalFormatting sqref="G6:I7 H8:I8 G9:I10 H20:I21">
    <cfRule type="cellIs" dxfId="1440" priority="4492" operator="equal">
      <formula>"-"</formula>
    </cfRule>
  </conditionalFormatting>
  <conditionalFormatting sqref="G8:I8">
    <cfRule type="cellIs" dxfId="1439" priority="4449" operator="lessThanOrEqual">
      <formula>0.11</formula>
    </cfRule>
    <cfRule type="containsBlanks" dxfId="1438" priority="4447">
      <formula>LEN(TRIM(G8))=0</formula>
    </cfRule>
    <cfRule type="cellIs" dxfId="1437" priority="4448" operator="greaterThan">
      <formula>0.11</formula>
    </cfRule>
  </conditionalFormatting>
  <conditionalFormatting sqref="G9:I9 Q9:AE9">
    <cfRule type="cellIs" dxfId="1436" priority="4444" operator="lessThan">
      <formula>0.9</formula>
    </cfRule>
  </conditionalFormatting>
  <conditionalFormatting sqref="G9:I9">
    <cfRule type="cellIs" dxfId="1435" priority="4445" operator="greaterThanOrEqual">
      <formula>0.9</formula>
    </cfRule>
  </conditionalFormatting>
  <conditionalFormatting sqref="G10:I10">
    <cfRule type="cellIs" dxfId="1434" priority="4500" operator="greaterThan">
      <formula>0.28</formula>
    </cfRule>
    <cfRule type="containsBlanks" dxfId="1433" priority="4499">
      <formula>LEN(TRIM(G10))=0</formula>
    </cfRule>
    <cfRule type="cellIs" dxfId="1432" priority="4501" operator="lessThanOrEqual">
      <formula>0.28</formula>
    </cfRule>
  </conditionalFormatting>
  <conditionalFormatting sqref="G11:I12">
    <cfRule type="containsBlanks" dxfId="1431" priority="4338">
      <formula>LEN(TRIM(G11))=0</formula>
    </cfRule>
  </conditionalFormatting>
  <conditionalFormatting sqref="G11:I15">
    <cfRule type="cellIs" dxfId="1430" priority="4234" operator="equal">
      <formula>"-"</formula>
    </cfRule>
  </conditionalFormatting>
  <conditionalFormatting sqref="G13:I15">
    <cfRule type="containsBlanks" dxfId="1429" priority="4233">
      <formula>LEN(TRIM(G13))=0</formula>
    </cfRule>
  </conditionalFormatting>
  <conditionalFormatting sqref="G16:I16 Q16:AE16 G27:I27 G29:I29">
    <cfRule type="cellIs" dxfId="1428" priority="4434" stopIfTrue="1" operator="greaterThanOrEqual">
      <formula>0.95</formula>
    </cfRule>
    <cfRule type="cellIs" dxfId="1427" priority="4471" stopIfTrue="1" operator="lessThan">
      <formula>0.95</formula>
    </cfRule>
  </conditionalFormatting>
  <conditionalFormatting sqref="G17:I17 R17:AE17">
    <cfRule type="containsBlanks" dxfId="1426" priority="4356">
      <formula>LEN(TRIM(G17))=0</formula>
    </cfRule>
  </conditionalFormatting>
  <conditionalFormatting sqref="G17:I17">
    <cfRule type="cellIs" dxfId="1425" priority="4363" operator="equal">
      <formula>"-"</formula>
    </cfRule>
  </conditionalFormatting>
  <conditionalFormatting sqref="G18:I21">
    <cfRule type="containsBlanks" dxfId="1424" priority="4417">
      <formula>LEN(TRIM(G18))=0</formula>
    </cfRule>
  </conditionalFormatting>
  <conditionalFormatting sqref="G20:I21">
    <cfRule type="cellIs" dxfId="1423" priority="4419" operator="greaterThanOrEqual">
      <formula>0.75</formula>
    </cfRule>
    <cfRule type="cellIs" dxfId="1422" priority="4418" operator="lessThan">
      <formula>0.75</formula>
    </cfRule>
  </conditionalFormatting>
  <conditionalFormatting sqref="G22:I23">
    <cfRule type="cellIs" dxfId="1421" priority="4411" operator="greaterThanOrEqual">
      <formula>0.9</formula>
    </cfRule>
  </conditionalFormatting>
  <conditionalFormatting sqref="G24:I24">
    <cfRule type="cellIs" dxfId="1420" priority="4393" operator="lessThan">
      <formula>0.86</formula>
    </cfRule>
    <cfRule type="cellIs" dxfId="1419" priority="4394" operator="greaterThanOrEqual">
      <formula>0.86</formula>
    </cfRule>
    <cfRule type="cellIs" dxfId="1418" priority="4392" operator="equal">
      <formula>"-"</formula>
    </cfRule>
  </conditionalFormatting>
  <conditionalFormatting sqref="G25:I25">
    <cfRule type="cellIs" dxfId="1417" priority="4390" operator="greaterThanOrEqual">
      <formula>0.75</formula>
    </cfRule>
    <cfRule type="cellIs" dxfId="1416" priority="4389" operator="lessThan">
      <formula>0.75</formula>
    </cfRule>
  </conditionalFormatting>
  <conditionalFormatting sqref="G26:I26">
    <cfRule type="cellIs" dxfId="1415" priority="4381" stopIfTrue="1" operator="lessThan">
      <formula>0.85</formula>
    </cfRule>
    <cfRule type="cellIs" dxfId="1414" priority="4380" stopIfTrue="1" operator="greaterThanOrEqual">
      <formula>0.85</formula>
    </cfRule>
  </conditionalFormatting>
  <conditionalFormatting sqref="G26:I29 G16:I16 Q16:AE16">
    <cfRule type="containsBlanks" dxfId="1413" priority="4433">
      <formula>LEN(TRIM(G16))=0</formula>
    </cfRule>
  </conditionalFormatting>
  <conditionalFormatting sqref="G28:I28 Q28:AE28">
    <cfRule type="cellIs" dxfId="1412" priority="4474" stopIfTrue="1" operator="lessThan">
      <formula>0.77</formula>
    </cfRule>
  </conditionalFormatting>
  <conditionalFormatting sqref="G22:P23">
    <cfRule type="cellIs" dxfId="1411" priority="54" operator="lessThan">
      <formula>0.9</formula>
    </cfRule>
    <cfRule type="containsBlanks" dxfId="1410" priority="53">
      <formula>LEN(TRIM(G22))=0</formula>
    </cfRule>
  </conditionalFormatting>
  <conditionalFormatting sqref="G4:AE4">
    <cfRule type="cellIs" dxfId="1409" priority="4141" operator="equal">
      <formula>"-"</formula>
    </cfRule>
    <cfRule type="cellIs" dxfId="1408" priority="4144" operator="lessThanOrEqual">
      <formula>0.28</formula>
    </cfRule>
    <cfRule type="cellIs" dxfId="1407" priority="4143" operator="greaterThan">
      <formula>0.28</formula>
    </cfRule>
    <cfRule type="containsBlanks" dxfId="1406" priority="4142">
      <formula>LEN(TRIM(G4))=0</formula>
    </cfRule>
  </conditionalFormatting>
  <conditionalFormatting sqref="G5:AE5">
    <cfRule type="cellIs" dxfId="1405" priority="145" operator="greaterThanOrEqual">
      <formula>0.9</formula>
    </cfRule>
    <cfRule type="cellIs" dxfId="1404" priority="144" operator="lessThan">
      <formula>0.9</formula>
    </cfRule>
  </conditionalFormatting>
  <conditionalFormatting sqref="H11:H12">
    <cfRule type="cellIs" dxfId="1403" priority="4345" operator="lessThanOrEqual">
      <formula>0.27</formula>
    </cfRule>
    <cfRule type="cellIs" dxfId="1402" priority="4344" operator="greaterThan">
      <formula>0.27</formula>
    </cfRule>
  </conditionalFormatting>
  <conditionalFormatting sqref="H13:H15">
    <cfRule type="cellIs" dxfId="1401" priority="4243" operator="greaterThan">
      <formula>0.064</formula>
    </cfRule>
    <cfRule type="cellIs" dxfId="1400" priority="4244" operator="lessThanOrEqual">
      <formula>0.064</formula>
    </cfRule>
  </conditionalFormatting>
  <conditionalFormatting sqref="H9:I9 AF5">
    <cfRule type="containsBlanks" dxfId="1399" priority="4495">
      <formula>LEN(TRIM(H5))=0</formula>
    </cfRule>
  </conditionalFormatting>
  <conditionalFormatting sqref="H17:I19">
    <cfRule type="cellIs" dxfId="1398" priority="4490" operator="greaterThanOrEqual">
      <formula>0.8</formula>
    </cfRule>
    <cfRule type="cellIs" dxfId="1397" priority="4489" operator="lessThan">
      <formula>0.8</formula>
    </cfRule>
  </conditionalFormatting>
  <conditionalFormatting sqref="H24:I25 AF17:AG17">
    <cfRule type="containsBlanks" dxfId="1396" priority="4491">
      <formula>LEN(TRIM(H17))=0</formula>
    </cfRule>
  </conditionalFormatting>
  <conditionalFormatting sqref="H26:L26">
    <cfRule type="containsBlanks" dxfId="1395" priority="10">
      <formula>LEN(TRIM(H26))=0</formula>
    </cfRule>
  </conditionalFormatting>
  <conditionalFormatting sqref="I11:I12">
    <cfRule type="cellIs" dxfId="1394" priority="4339" operator="greaterThan">
      <formula>0.3</formula>
    </cfRule>
    <cfRule type="cellIs" dxfId="1393" priority="4340" operator="lessThanOrEqual">
      <formula>0.3</formula>
    </cfRule>
  </conditionalFormatting>
  <conditionalFormatting sqref="I13:I15">
    <cfRule type="cellIs" dxfId="1392" priority="4235" operator="greaterThan">
      <formula>0.0733</formula>
    </cfRule>
    <cfRule type="cellIs" dxfId="1391" priority="4236" operator="lessThanOrEqual">
      <formula>0.0733</formula>
    </cfRule>
  </conditionalFormatting>
  <conditionalFormatting sqref="J11">
    <cfRule type="cellIs" dxfId="1390" priority="463" operator="lessThanOrEqual">
      <formula>0.29</formula>
    </cfRule>
    <cfRule type="cellIs" dxfId="1389" priority="462" operator="greaterThan">
      <formula>0.29</formula>
    </cfRule>
  </conditionalFormatting>
  <conditionalFormatting sqref="J12 L12">
    <cfRule type="cellIs" dxfId="1388" priority="130" operator="lessThanOrEqual">
      <formula>0.29</formula>
    </cfRule>
    <cfRule type="cellIs" dxfId="1387" priority="129" operator="greaterThan">
      <formula>0.29</formula>
    </cfRule>
  </conditionalFormatting>
  <conditionalFormatting sqref="J13">
    <cfRule type="cellIs" dxfId="1386" priority="397" operator="lessThan">
      <formula>0.0634</formula>
    </cfRule>
    <cfRule type="cellIs" dxfId="1385" priority="396" operator="greaterThan">
      <formula>0.0634</formula>
    </cfRule>
    <cfRule type="containsBlanks" dxfId="1384" priority="395">
      <formula>LEN(TRIM(J13))=0</formula>
    </cfRule>
    <cfRule type="cellIs" dxfId="1383" priority="410" operator="lessThanOrEqual">
      <formula>0.0634</formula>
    </cfRule>
  </conditionalFormatting>
  <conditionalFormatting sqref="J14">
    <cfRule type="cellIs" dxfId="1382" priority="105" operator="greaterThan">
      <formula>0.5</formula>
    </cfRule>
    <cfRule type="cellIs" dxfId="1381" priority="106" operator="lessThanOrEqual">
      <formula>0.5</formula>
    </cfRule>
  </conditionalFormatting>
  <conditionalFormatting sqref="J27">
    <cfRule type="cellIs" dxfId="1380" priority="21" stopIfTrue="1" operator="lessThan">
      <formula>0.78</formula>
    </cfRule>
    <cfRule type="cellIs" dxfId="1379" priority="20" stopIfTrue="1" operator="greaterThanOrEqual">
      <formula>0.78</formula>
    </cfRule>
  </conditionalFormatting>
  <conditionalFormatting sqref="J12:K12 M12:P12">
    <cfRule type="containsBlanks" dxfId="1378" priority="128">
      <formula>LEN(TRIM(J12))=0</formula>
    </cfRule>
  </conditionalFormatting>
  <conditionalFormatting sqref="J27:K29">
    <cfRule type="containsBlanks" dxfId="1377" priority="19">
      <formula>LEN(TRIM(J27))=0</formula>
    </cfRule>
  </conditionalFormatting>
  <conditionalFormatting sqref="J28:K28">
    <cfRule type="cellIs" dxfId="1376" priority="27" stopIfTrue="1" operator="lessThan">
      <formula>0.78</formula>
    </cfRule>
    <cfRule type="cellIs" dxfId="1375" priority="26" stopIfTrue="1" operator="greaterThanOrEqual">
      <formula>0.78</formula>
    </cfRule>
  </conditionalFormatting>
  <conditionalFormatting sqref="J26:L26">
    <cfRule type="cellIs" dxfId="1374" priority="12" stopIfTrue="1" operator="lessThan">
      <formula>0.86</formula>
    </cfRule>
    <cfRule type="cellIs" dxfId="1373" priority="11" stopIfTrue="1" operator="greaterThanOrEqual">
      <formula>0.86</formula>
    </cfRule>
  </conditionalFormatting>
  <conditionalFormatting sqref="J29:L29">
    <cfRule type="cellIs" dxfId="1372" priority="33" stopIfTrue="1" operator="lessThan">
      <formula>0.86</formula>
    </cfRule>
    <cfRule type="cellIs" dxfId="1371" priority="32" stopIfTrue="1" operator="greaterThanOrEqual">
      <formula>0.86</formula>
    </cfRule>
  </conditionalFormatting>
  <conditionalFormatting sqref="J14:M14 P14">
    <cfRule type="cellIs" dxfId="1370" priority="115" operator="equal">
      <formula>"-"</formula>
    </cfRule>
  </conditionalFormatting>
  <conditionalFormatting sqref="J5:P5">
    <cfRule type="containsBlanks" dxfId="1369" priority="143">
      <formula>LEN(TRIM(J5))=0</formula>
    </cfRule>
    <cfRule type="cellIs" dxfId="1368" priority="142" operator="greaterThanOrEqual">
      <formula>0.95</formula>
    </cfRule>
    <cfRule type="cellIs" dxfId="1367" priority="141" operator="lessThan">
      <formula>0.95</formula>
    </cfRule>
  </conditionalFormatting>
  <conditionalFormatting sqref="J6:P6">
    <cfRule type="cellIs" dxfId="1366" priority="139" stopIfTrue="1" operator="greaterThanOrEqual">
      <formula>0.65</formula>
    </cfRule>
    <cfRule type="cellIs" dxfId="1365" priority="140" stopIfTrue="1" operator="lessThan">
      <formula>0.65</formula>
    </cfRule>
  </conditionalFormatting>
  <conditionalFormatting sqref="J6:P8">
    <cfRule type="containsBlanks" dxfId="1364" priority="43">
      <formula>LEN(TRIM(J6))=0</formula>
    </cfRule>
  </conditionalFormatting>
  <conditionalFormatting sqref="J7:P7">
    <cfRule type="cellIs" dxfId="1363" priority="44" operator="lessThan">
      <formula>0.03</formula>
    </cfRule>
    <cfRule type="cellIs" dxfId="1362" priority="45" operator="greaterThanOrEqual">
      <formula>0.03</formula>
    </cfRule>
  </conditionalFormatting>
  <conditionalFormatting sqref="J8:P8">
    <cfRule type="cellIs" dxfId="1361" priority="475" operator="lessThan">
      <formula>0.11</formula>
    </cfRule>
    <cfRule type="cellIs" dxfId="1360" priority="476" operator="greaterThan">
      <formula>0.11</formula>
    </cfRule>
  </conditionalFormatting>
  <conditionalFormatting sqref="J9:P9">
    <cfRule type="cellIs" dxfId="1359" priority="135" operator="lessThan">
      <formula>0.95</formula>
    </cfRule>
    <cfRule type="cellIs" dxfId="1358" priority="136" operator="greaterThanOrEqual">
      <formula>0.95</formula>
    </cfRule>
    <cfRule type="cellIs" dxfId="1357" priority="137" operator="equal">
      <formula>"-"</formula>
    </cfRule>
  </conditionalFormatting>
  <conditionalFormatting sqref="J11:P11">
    <cfRule type="containsBlanks" dxfId="1356" priority="451">
      <formula>LEN(TRIM(J11))=0</formula>
    </cfRule>
  </conditionalFormatting>
  <conditionalFormatting sqref="J14:P14">
    <cfRule type="containsBlanks" dxfId="1355" priority="114">
      <formula>LEN(TRIM(J14))=0</formula>
    </cfRule>
  </conditionalFormatting>
  <conditionalFormatting sqref="J15:P15">
    <cfRule type="cellIs" dxfId="1354" priority="97" stopIfTrue="1" operator="greaterThanOrEqual">
      <formula>0.9</formula>
    </cfRule>
    <cfRule type="cellIs" dxfId="1353" priority="98" stopIfTrue="1" operator="lessThan">
      <formula>0.9</formula>
    </cfRule>
  </conditionalFormatting>
  <conditionalFormatting sqref="J15:P16">
    <cfRule type="containsBlanks" dxfId="1352" priority="96">
      <formula>LEN(TRIM(J15))=0</formula>
    </cfRule>
  </conditionalFormatting>
  <conditionalFormatting sqref="J16:P16">
    <cfRule type="cellIs" dxfId="1351" priority="100" stopIfTrue="1" operator="greaterThanOrEqual">
      <formula>0.95</formula>
    </cfRule>
    <cfRule type="cellIs" dxfId="1350" priority="101" stopIfTrue="1" operator="lessThan">
      <formula>0.95</formula>
    </cfRule>
  </conditionalFormatting>
  <conditionalFormatting sqref="J18:P20">
    <cfRule type="cellIs" dxfId="1349" priority="91" operator="greaterThanOrEqual">
      <formula>0.9</formula>
    </cfRule>
    <cfRule type="cellIs" dxfId="1348" priority="90" operator="lessThan">
      <formula>0.9</formula>
    </cfRule>
  </conditionalFormatting>
  <conditionalFormatting sqref="J20:P20">
    <cfRule type="cellIs" dxfId="1347" priority="354" operator="equal">
      <formula>"-"</formula>
    </cfRule>
  </conditionalFormatting>
  <conditionalFormatting sqref="J20:P21">
    <cfRule type="containsBlanks" dxfId="1346" priority="65">
      <formula>LEN(TRIM(J20))=0</formula>
    </cfRule>
  </conditionalFormatting>
  <conditionalFormatting sqref="J21:P21">
    <cfRule type="cellIs" dxfId="1345" priority="67" operator="equal">
      <formula>"-"</formula>
    </cfRule>
    <cfRule type="cellIs" dxfId="1344" priority="66" operator="lessThan">
      <formula>0.9</formula>
    </cfRule>
  </conditionalFormatting>
  <conditionalFormatting sqref="J21:P23">
    <cfRule type="cellIs" dxfId="1343" priority="55" operator="greaterThanOrEqual">
      <formula>0.9</formula>
    </cfRule>
  </conditionalFormatting>
  <conditionalFormatting sqref="J24:P24">
    <cfRule type="cellIs" dxfId="1342" priority="48" operator="lessThan">
      <formula>0.86</formula>
    </cfRule>
    <cfRule type="cellIs" dxfId="1341" priority="47" operator="equal">
      <formula>"-"</formula>
    </cfRule>
    <cfRule type="cellIs" dxfId="1340" priority="49" operator="greaterThanOrEqual">
      <formula>0.86</formula>
    </cfRule>
  </conditionalFormatting>
  <conditionalFormatting sqref="J24:P25">
    <cfRule type="containsBlanks" dxfId="1339" priority="46">
      <formula>LEN(TRIM(J24))=0</formula>
    </cfRule>
  </conditionalFormatting>
  <conditionalFormatting sqref="J25:P25">
    <cfRule type="cellIs" dxfId="1338" priority="52" operator="greaterThanOrEqual">
      <formula>0.75</formula>
    </cfRule>
    <cfRule type="cellIs" dxfId="1337" priority="51" operator="lessThan">
      <formula>0.75</formula>
    </cfRule>
  </conditionalFormatting>
  <conditionalFormatting sqref="J17:Q17">
    <cfRule type="cellIs" dxfId="1336" priority="95" operator="equal">
      <formula>"-"</formula>
    </cfRule>
    <cfRule type="cellIs" dxfId="1335" priority="94" operator="greaterThanOrEqual">
      <formula>0.8</formula>
    </cfRule>
    <cfRule type="cellIs" dxfId="1334" priority="93" operator="lessThan">
      <formula>0.8</formula>
    </cfRule>
    <cfRule type="containsBlanks" dxfId="1333" priority="92">
      <formula>LEN(TRIM(J17))=0</formula>
    </cfRule>
  </conditionalFormatting>
  <conditionalFormatting sqref="J9:AE9">
    <cfRule type="containsBlanks" dxfId="1332" priority="134">
      <formula>LEN(TRIM(J9))=0</formula>
    </cfRule>
  </conditionalFormatting>
  <conditionalFormatting sqref="J10:AE10">
    <cfRule type="cellIs" dxfId="1331" priority="4131" operator="lessThanOrEqual">
      <formula>0.28</formula>
    </cfRule>
    <cfRule type="containsBlanks" dxfId="1330" priority="4129">
      <formula>LEN(TRIM(J10))=0</formula>
    </cfRule>
    <cfRule type="cellIs" dxfId="1329" priority="4128" operator="equal">
      <formula>"-"</formula>
    </cfRule>
    <cfRule type="cellIs" dxfId="1328" priority="4130" operator="greaterThan">
      <formula>0.28</formula>
    </cfRule>
  </conditionalFormatting>
  <conditionalFormatting sqref="J18:AF19">
    <cfRule type="containsBlanks" dxfId="1327" priority="89">
      <formula>LEN(TRIM(J18))=0</formula>
    </cfRule>
  </conditionalFormatting>
  <conditionalFormatting sqref="K11 P11">
    <cfRule type="cellIs" dxfId="1326" priority="459" operator="greaterThan">
      <formula>0.27</formula>
    </cfRule>
    <cfRule type="cellIs" dxfId="1325" priority="460" operator="lessThanOrEqual">
      <formula>0.27</formula>
    </cfRule>
  </conditionalFormatting>
  <conditionalFormatting sqref="K12">
    <cfRule type="cellIs" dxfId="1324" priority="122" operator="greaterThan">
      <formula>0.285</formula>
    </cfRule>
    <cfRule type="cellIs" dxfId="1323" priority="123" operator="lessThanOrEqual">
      <formula>0.285</formula>
    </cfRule>
  </conditionalFormatting>
  <conditionalFormatting sqref="K13">
    <cfRule type="cellIs" dxfId="1322" priority="407" operator="greaterThan">
      <formula>0.0878</formula>
    </cfRule>
    <cfRule type="cellIs" dxfId="1321" priority="408" operator="lessThanOrEqual">
      <formula>0.0878</formula>
    </cfRule>
  </conditionalFormatting>
  <conditionalFormatting sqref="K27">
    <cfRule type="cellIs" dxfId="1320" priority="268" stopIfTrue="1" operator="lessThan">
      <formula>0.86</formula>
    </cfRule>
    <cfRule type="cellIs" dxfId="1319" priority="267" stopIfTrue="1" operator="greaterThanOrEqual">
      <formula>0.86</formula>
    </cfRule>
  </conditionalFormatting>
  <conditionalFormatting sqref="K14:L14">
    <cfRule type="cellIs" dxfId="1318" priority="113" operator="lessThanOrEqual">
      <formula>0.04</formula>
    </cfRule>
    <cfRule type="cellIs" dxfId="1317" priority="112" operator="greaterThan">
      <formula>0.04</formula>
    </cfRule>
  </conditionalFormatting>
  <conditionalFormatting sqref="L11:L12">
    <cfRule type="cellIs" dxfId="1316" priority="126" operator="equal">
      <formula>"-"</formula>
    </cfRule>
  </conditionalFormatting>
  <conditionalFormatting sqref="L12">
    <cfRule type="containsBlanks" dxfId="1315" priority="131">
      <formula>LEN(TRIM(L12))=0</formula>
    </cfRule>
    <cfRule type="cellIs" dxfId="1314" priority="133" operator="lessThanOrEqual">
      <formula>0.29</formula>
    </cfRule>
    <cfRule type="cellIs" dxfId="1313" priority="132" operator="greaterThan">
      <formula>0.29</formula>
    </cfRule>
  </conditionalFormatting>
  <conditionalFormatting sqref="L13">
    <cfRule type="cellIs" dxfId="1312" priority="399" operator="greaterThan">
      <formula>0.064</formula>
    </cfRule>
    <cfRule type="containsBlanks" dxfId="1311" priority="398">
      <formula>LEN(TRIM(L13))=0</formula>
    </cfRule>
    <cfRule type="cellIs" dxfId="1310" priority="400" operator="lessThan">
      <formula>0.064</formula>
    </cfRule>
  </conditionalFormatting>
  <conditionalFormatting sqref="L27">
    <cfRule type="cellIs" dxfId="1309" priority="722" operator="lessThanOrEqual">
      <formula>0.11</formula>
    </cfRule>
    <cfRule type="containsBlanks" dxfId="1308" priority="720">
      <formula>LEN(TRIM(L27))=0</formula>
    </cfRule>
    <cfRule type="cellIs" dxfId="1307" priority="719" operator="equal">
      <formula>"-"</formula>
    </cfRule>
    <cfRule type="cellIs" dxfId="1306" priority="721" operator="greaterThan">
      <formula>0.11</formula>
    </cfRule>
  </conditionalFormatting>
  <conditionalFormatting sqref="L28">
    <cfRule type="cellIs" dxfId="1305" priority="280" stopIfTrue="1" operator="lessThan">
      <formula>0.78</formula>
    </cfRule>
    <cfRule type="cellIs" dxfId="1304" priority="279" stopIfTrue="1" operator="greaterThanOrEqual">
      <formula>0.78</formula>
    </cfRule>
  </conditionalFormatting>
  <conditionalFormatting sqref="L28:L29">
    <cfRule type="containsBlanks" dxfId="1303" priority="31">
      <formula>LEN(TRIM(L28))=0</formula>
    </cfRule>
  </conditionalFormatting>
  <conditionalFormatting sqref="L11:M11 O11">
    <cfRule type="cellIs" dxfId="1302" priority="466" operator="lessThanOrEqual">
      <formula>0.29</formula>
    </cfRule>
    <cfRule type="cellIs" dxfId="1301" priority="465" operator="greaterThan">
      <formula>0.29</formula>
    </cfRule>
  </conditionalFormatting>
  <conditionalFormatting sqref="M12">
    <cfRule type="cellIs" dxfId="1300" priority="120" operator="greaterThan">
      <formula>0.22</formula>
    </cfRule>
    <cfRule type="cellIs" dxfId="1299" priority="121" operator="lessThanOrEqual">
      <formula>0.22</formula>
    </cfRule>
  </conditionalFormatting>
  <conditionalFormatting sqref="M14 P14">
    <cfRule type="cellIs" dxfId="1298" priority="111" operator="lessThanOrEqual">
      <formula>0.09</formula>
    </cfRule>
    <cfRule type="cellIs" dxfId="1297" priority="110" operator="greaterThan">
      <formula>0.09</formula>
    </cfRule>
  </conditionalFormatting>
  <conditionalFormatting sqref="M26:M27">
    <cfRule type="cellIs" dxfId="1296" priority="9" stopIfTrue="1" operator="lessThan">
      <formula>0.86</formula>
    </cfRule>
    <cfRule type="cellIs" dxfId="1295" priority="8" stopIfTrue="1" operator="greaterThanOrEqual">
      <formula>0.86</formula>
    </cfRule>
  </conditionalFormatting>
  <conditionalFormatting sqref="M26:M29">
    <cfRule type="containsBlanks" dxfId="1294" priority="7">
      <formula>LEN(TRIM(M26))=0</formula>
    </cfRule>
  </conditionalFormatting>
  <conditionalFormatting sqref="M28">
    <cfRule type="cellIs" dxfId="1293" priority="24" stopIfTrue="1" operator="lessThan">
      <formula>0.78</formula>
    </cfRule>
    <cfRule type="cellIs" dxfId="1292" priority="23" stopIfTrue="1" operator="greaterThanOrEqual">
      <formula>0.78</formula>
    </cfRule>
  </conditionalFormatting>
  <conditionalFormatting sqref="M13:N13">
    <cfRule type="cellIs" dxfId="1291" priority="405" operator="greaterThan">
      <formula>0.04</formula>
    </cfRule>
    <cfRule type="cellIs" dxfId="1290" priority="406" operator="lessThanOrEqual">
      <formula>0.04</formula>
    </cfRule>
  </conditionalFormatting>
  <conditionalFormatting sqref="M29:N29">
    <cfRule type="cellIs" dxfId="1289" priority="35" stopIfTrue="1" operator="greaterThanOrEqual">
      <formula>0.86</formula>
    </cfRule>
    <cfRule type="cellIs" dxfId="1288" priority="36" stopIfTrue="1" operator="lessThan">
      <formula>0.86</formula>
    </cfRule>
  </conditionalFormatting>
  <conditionalFormatting sqref="M11:P12 J11:K12">
    <cfRule type="cellIs" dxfId="1287" priority="127" operator="equal">
      <formula>"-"</formula>
    </cfRule>
  </conditionalFormatting>
  <conditionalFormatting sqref="N11">
    <cfRule type="cellIs" dxfId="1286" priority="453" operator="lessThanOrEqual">
      <formula>0.33</formula>
    </cfRule>
    <cfRule type="cellIs" dxfId="1285" priority="452" operator="greaterThan">
      <formula>0.33</formula>
    </cfRule>
  </conditionalFormatting>
  <conditionalFormatting sqref="N12">
    <cfRule type="cellIs" dxfId="1284" priority="118" operator="greaterThan">
      <formula>0.4</formula>
    </cfRule>
    <cfRule type="cellIs" dxfId="1283" priority="119" operator="lessThanOrEqual">
      <formula>0.4</formula>
    </cfRule>
  </conditionalFormatting>
  <conditionalFormatting sqref="N27">
    <cfRule type="cellIs" dxfId="1282" priority="18" stopIfTrue="1" operator="lessThan">
      <formula>0.78</formula>
    </cfRule>
    <cfRule type="cellIs" dxfId="1281" priority="17" stopIfTrue="1" operator="greaterThanOrEqual">
      <formula>0.78</formula>
    </cfRule>
    <cfRule type="containsBlanks" dxfId="1280" priority="16">
      <formula>LEN(TRIM(N27))=0</formula>
    </cfRule>
  </conditionalFormatting>
  <conditionalFormatting sqref="N28">
    <cfRule type="cellIs" dxfId="1279" priority="276" stopIfTrue="1" operator="greaterThanOrEqual">
      <formula>0.78</formula>
    </cfRule>
    <cfRule type="cellIs" dxfId="1278" priority="277" stopIfTrue="1" operator="lessThan">
      <formula>0.78</formula>
    </cfRule>
  </conditionalFormatting>
  <conditionalFormatting sqref="N14:O14">
    <cfRule type="cellIs" dxfId="1277" priority="108" operator="greaterThan">
      <formula>0.035</formula>
    </cfRule>
    <cfRule type="cellIs" dxfId="1276" priority="109" operator="lessThanOrEqual">
      <formula>0.035</formula>
    </cfRule>
    <cfRule type="cellIs" dxfId="1275" priority="107" operator="equal">
      <formula>"-"</formula>
    </cfRule>
  </conditionalFormatting>
  <conditionalFormatting sqref="N26:O26">
    <cfRule type="cellIs" dxfId="1274" priority="3" stopIfTrue="1" operator="lessThan">
      <formula>0.86</formula>
    </cfRule>
    <cfRule type="cellIs" dxfId="1273" priority="2" stopIfTrue="1" operator="greaterThanOrEqual">
      <formula>0.86</formula>
    </cfRule>
    <cfRule type="containsBlanks" dxfId="1272" priority="1">
      <formula>LEN(TRIM(N26))=0</formula>
    </cfRule>
  </conditionalFormatting>
  <conditionalFormatting sqref="N28:P29">
    <cfRule type="containsBlanks" dxfId="1271" priority="34">
      <formula>LEN(TRIM(N28))=0</formula>
    </cfRule>
  </conditionalFormatting>
  <conditionalFormatting sqref="O12">
    <cfRule type="cellIs" dxfId="1270" priority="116" operator="greaterThan">
      <formula>0.295</formula>
    </cfRule>
    <cfRule type="cellIs" dxfId="1269" priority="117" operator="lessThanOrEqual">
      <formula>0.295</formula>
    </cfRule>
  </conditionalFormatting>
  <conditionalFormatting sqref="O13">
    <cfRule type="cellIs" dxfId="1268" priority="404" operator="lessThanOrEqual">
      <formula>0.0575</formula>
    </cfRule>
    <cfRule type="cellIs" dxfId="1267" priority="403" operator="greaterThan">
      <formula>0.0575</formula>
    </cfRule>
  </conditionalFormatting>
  <conditionalFormatting sqref="O27">
    <cfRule type="cellIs" dxfId="1266" priority="1501" operator="lessThanOrEqual">
      <formula>0.11</formula>
    </cfRule>
    <cfRule type="cellIs" dxfId="1265" priority="1500" operator="greaterThan">
      <formula>0.11</formula>
    </cfRule>
    <cfRule type="containsBlanks" dxfId="1264" priority="1499">
      <formula>LEN(TRIM(O27))=0</formula>
    </cfRule>
    <cfRule type="cellIs" dxfId="1263" priority="1498" operator="equal">
      <formula>"-"</formula>
    </cfRule>
  </conditionalFormatting>
  <conditionalFormatting sqref="O28:O29">
    <cfRule type="cellIs" dxfId="1262" priority="307" stopIfTrue="1" operator="lessThan">
      <formula>0.97</formula>
    </cfRule>
    <cfRule type="cellIs" dxfId="1261" priority="306" stopIfTrue="1" operator="greaterThanOrEqual">
      <formula>0.97</formula>
    </cfRule>
  </conditionalFormatting>
  <conditionalFormatting sqref="P12">
    <cfRule type="cellIs" dxfId="1260" priority="124" operator="greaterThan">
      <formula>0.23</formula>
    </cfRule>
    <cfRule type="cellIs" dxfId="1259" priority="125" operator="lessThanOrEqual">
      <formula>0.23</formula>
    </cfRule>
  </conditionalFormatting>
  <conditionalFormatting sqref="P13">
    <cfRule type="cellIs" dxfId="1258" priority="402" operator="lessThanOrEqual">
      <formula>0.0911</formula>
    </cfRule>
    <cfRule type="cellIs" dxfId="1257" priority="401" operator="greaterThan">
      <formula>0.0911</formula>
    </cfRule>
  </conditionalFormatting>
  <conditionalFormatting sqref="P26:P27">
    <cfRule type="cellIs" dxfId="1256" priority="5" stopIfTrue="1" operator="greaterThanOrEqual">
      <formula>0.86</formula>
    </cfRule>
    <cfRule type="containsBlanks" dxfId="1255" priority="4">
      <formula>LEN(TRIM(P26))=0</formula>
    </cfRule>
    <cfRule type="cellIs" dxfId="1254" priority="6" stopIfTrue="1" operator="lessThan">
      <formula>0.86</formula>
    </cfRule>
  </conditionalFormatting>
  <conditionalFormatting sqref="P28">
    <cfRule type="cellIs" dxfId="1253" priority="273" stopIfTrue="1" operator="greaterThanOrEqual">
      <formula>0.78</formula>
    </cfRule>
    <cfRule type="cellIs" dxfId="1252" priority="274" stopIfTrue="1" operator="lessThan">
      <formula>0.78</formula>
    </cfRule>
  </conditionalFormatting>
  <conditionalFormatting sqref="P29">
    <cfRule type="cellIs" dxfId="1251" priority="285" stopIfTrue="1" operator="greaterThanOrEqual">
      <formula>0.86</formula>
    </cfRule>
    <cfRule type="cellIs" dxfId="1250" priority="286" stopIfTrue="1" operator="lessThan">
      <formula>0.86</formula>
    </cfRule>
  </conditionalFormatting>
  <conditionalFormatting sqref="Q7">
    <cfRule type="cellIs" dxfId="1249" priority="1998" operator="greaterThan">
      <formula>0.06</formula>
    </cfRule>
    <cfRule type="containsBlanks" dxfId="1248" priority="1996">
      <formula>LEN(TRIM(Q7))=0</formula>
    </cfRule>
    <cfRule type="cellIs" dxfId="1247" priority="1999" operator="lessThanOrEqual">
      <formula>0.06</formula>
    </cfRule>
  </conditionalFormatting>
  <conditionalFormatting sqref="Q11:Q12">
    <cfRule type="cellIs" dxfId="1246" priority="2746" operator="lessThanOrEqual">
      <formula>0.3</formula>
    </cfRule>
    <cfRule type="cellIs" dxfId="1245" priority="2745" operator="greaterThan">
      <formula>0.3</formula>
    </cfRule>
  </conditionalFormatting>
  <conditionalFormatting sqref="Q13:Q15">
    <cfRule type="cellIs" dxfId="1244" priority="4203" operator="greaterThan">
      <formula>0.0617</formula>
    </cfRule>
    <cfRule type="cellIs" dxfId="1243" priority="4204" operator="lessThanOrEqual">
      <formula>0.0617</formula>
    </cfRule>
  </conditionalFormatting>
  <conditionalFormatting sqref="Q5:AE6 G5:I7">
    <cfRule type="containsBlanks" dxfId="1242" priority="4353">
      <formula>LEN(TRIM(G5))=0</formula>
    </cfRule>
  </conditionalFormatting>
  <conditionalFormatting sqref="Q6:AE6">
    <cfRule type="cellIs" dxfId="1241" priority="4469" operator="equal">
      <formula>"-"</formula>
    </cfRule>
  </conditionalFormatting>
  <conditionalFormatting sqref="Q7:AE7">
    <cfRule type="cellIs" dxfId="1240" priority="1997" operator="equal">
      <formula>"-"</formula>
    </cfRule>
  </conditionalFormatting>
  <conditionalFormatting sqref="Q8:AE8">
    <cfRule type="cellIs" dxfId="1239" priority="4453" operator="lessThanOrEqual">
      <formula>0.11</formula>
    </cfRule>
    <cfRule type="cellIs" dxfId="1238" priority="4452" operator="greaterThan">
      <formula>0.11</formula>
    </cfRule>
    <cfRule type="containsBlanks" dxfId="1237" priority="4451">
      <formula>LEN(TRIM(Q8))=0</formula>
    </cfRule>
  </conditionalFormatting>
  <conditionalFormatting sqref="Q8:AE9">
    <cfRule type="cellIs" dxfId="1236" priority="4450" operator="equal">
      <formula>"-"</formula>
    </cfRule>
  </conditionalFormatting>
  <conditionalFormatting sqref="Q9:AE9 G9:I9">
    <cfRule type="containsBlanks" dxfId="1235" priority="4443">
      <formula>LEN(TRIM(G9))=0</formula>
    </cfRule>
  </conditionalFormatting>
  <conditionalFormatting sqref="Q9:AE9">
    <cfRule type="cellIs" dxfId="1234" priority="4436" operator="lessThan">
      <formula>0.9</formula>
    </cfRule>
    <cfRule type="cellIs" dxfId="1233" priority="4437" operator="greaterThanOrEqual">
      <formula>0.9</formula>
    </cfRule>
    <cfRule type="cellIs" dxfId="1232" priority="4438" operator="equal">
      <formula>"-"</formula>
    </cfRule>
  </conditionalFormatting>
  <conditionalFormatting sqref="Q11:AE12">
    <cfRule type="containsBlanks" dxfId="1231" priority="2744">
      <formula>LEN(TRIM(Q11))=0</formula>
    </cfRule>
  </conditionalFormatting>
  <conditionalFormatting sqref="Q11:AE15">
    <cfRule type="cellIs" dxfId="1230" priority="2743" operator="equal">
      <formula>"-"</formula>
    </cfRule>
  </conditionalFormatting>
  <conditionalFormatting sqref="Q13:AE15">
    <cfRule type="containsBlanks" dxfId="1229" priority="4145">
      <formula>LEN(TRIM(Q13))=0</formula>
    </cfRule>
  </conditionalFormatting>
  <conditionalFormatting sqref="Q22:AE23">
    <cfRule type="cellIs" dxfId="1228" priority="4405" operator="greaterThanOrEqual">
      <formula>0.9</formula>
    </cfRule>
    <cfRule type="cellIs" dxfId="1227" priority="4404" operator="lessThan">
      <formula>0.9</formula>
    </cfRule>
  </conditionalFormatting>
  <conditionalFormatting sqref="Q22:AE25">
    <cfRule type="containsBlanks" dxfId="1226" priority="4382">
      <formula>LEN(TRIM(Q22))=0</formula>
    </cfRule>
  </conditionalFormatting>
  <conditionalFormatting sqref="Q24:AE24">
    <cfRule type="cellIs" dxfId="1225" priority="4398" operator="greaterThanOrEqual">
      <formula>0.86</formula>
    </cfRule>
    <cfRule type="cellIs" dxfId="1224" priority="4396" operator="equal">
      <formula>"-"</formula>
    </cfRule>
    <cfRule type="cellIs" dxfId="1223" priority="4397" operator="lessThan">
      <formula>0.86</formula>
    </cfRule>
  </conditionalFormatting>
  <conditionalFormatting sqref="Q25:AE25">
    <cfRule type="cellIs" dxfId="1222" priority="4384" operator="greaterThanOrEqual">
      <formula>0.75</formula>
    </cfRule>
    <cfRule type="cellIs" dxfId="1221" priority="4383" operator="lessThan">
      <formula>0.75</formula>
    </cfRule>
  </conditionalFormatting>
  <conditionalFormatting sqref="Q26:AE26">
    <cfRule type="cellIs" dxfId="1220" priority="4378" stopIfTrue="1" operator="lessThan">
      <formula>0.85</formula>
    </cfRule>
    <cfRule type="cellIs" dxfId="1219" priority="4377" stopIfTrue="1" operator="greaterThanOrEqual">
      <formula>0.85</formula>
    </cfRule>
    <cfRule type="containsBlanks" dxfId="1218" priority="4376">
      <formula>LEN(TRIM(Q26))=0</formula>
    </cfRule>
    <cfRule type="cellIs" dxfId="1217" priority="4375" stopIfTrue="1" operator="greaterThanOrEqual">
      <formula>0.85</formula>
    </cfRule>
  </conditionalFormatting>
  <conditionalFormatting sqref="Q26:AE29">
    <cfRule type="containsBlanks" dxfId="1216" priority="4368">
      <formula>LEN(TRIM(Q26))=0</formula>
    </cfRule>
  </conditionalFormatting>
  <conditionalFormatting sqref="Q27:AE27">
    <cfRule type="cellIs" dxfId="1215" priority="4473" stopIfTrue="1" operator="lessThan">
      <formula>0.95</formula>
    </cfRule>
    <cfRule type="cellIs" dxfId="1214" priority="4373" stopIfTrue="1" operator="greaterThanOrEqual">
      <formula>0.95</formula>
    </cfRule>
  </conditionalFormatting>
  <conditionalFormatting sqref="Q28:AE28 G28:I28">
    <cfRule type="cellIs" dxfId="1213" priority="4371" stopIfTrue="1" operator="greaterThanOrEqual">
      <formula>0.77</formula>
    </cfRule>
  </conditionalFormatting>
  <conditionalFormatting sqref="Q29:AE29">
    <cfRule type="cellIs" dxfId="1212" priority="4369" stopIfTrue="1" operator="greaterThanOrEqual">
      <formula>0.95</formula>
    </cfRule>
    <cfRule type="cellIs" dxfId="1211" priority="4475" stopIfTrue="1" operator="lessThan">
      <formula>0.95</formula>
    </cfRule>
  </conditionalFormatting>
  <conditionalFormatting sqref="Q18:AF19">
    <cfRule type="cellIs" dxfId="1210" priority="4425" operator="lessThan">
      <formula>0.8</formula>
    </cfRule>
    <cfRule type="cellIs" dxfId="1209" priority="4426" operator="greaterThanOrEqual">
      <formula>0.8</formula>
    </cfRule>
  </conditionalFormatting>
  <conditionalFormatting sqref="Q20:AG21">
    <cfRule type="cellIs" dxfId="1208" priority="4412" operator="equal">
      <formula>"-"</formula>
    </cfRule>
    <cfRule type="cellIs" dxfId="1207" priority="4415" operator="greaterThanOrEqual">
      <formula>0.75</formula>
    </cfRule>
    <cfRule type="containsBlanks" dxfId="1206" priority="4413">
      <formula>LEN(TRIM(Q20))=0</formula>
    </cfRule>
    <cfRule type="cellIs" dxfId="1205" priority="4414" operator="lessThan">
      <formula>0.75</formula>
    </cfRule>
  </conditionalFormatting>
  <conditionalFormatting sqref="R11:R12">
    <cfRule type="cellIs" dxfId="1204" priority="4303" operator="greaterThan">
      <formula>0.27</formula>
    </cfRule>
    <cfRule type="cellIs" dxfId="1203" priority="4304" operator="lessThanOrEqual">
      <formula>0.27</formula>
    </cfRule>
  </conditionalFormatting>
  <conditionalFormatting sqref="R13:R15">
    <cfRule type="cellIs" dxfId="1202" priority="4199" operator="greaterThan">
      <formula>0.0549</formula>
    </cfRule>
    <cfRule type="cellIs" dxfId="1201" priority="4200" operator="lessThanOrEqual">
      <formula>0.0549</formula>
    </cfRule>
  </conditionalFormatting>
  <conditionalFormatting sqref="R7:AE7 G7:I7">
    <cfRule type="cellIs" dxfId="1200" priority="4467" operator="lessThanOrEqual">
      <formula>0.04</formula>
    </cfRule>
    <cfRule type="cellIs" dxfId="1199" priority="4462" operator="greaterThan">
      <formula>0.04</formula>
    </cfRule>
  </conditionalFormatting>
  <conditionalFormatting sqref="R7:AE7">
    <cfRule type="containsBlanks" dxfId="1198" priority="4461">
      <formula>LEN(TRIM(R7))=0</formula>
    </cfRule>
  </conditionalFormatting>
  <conditionalFormatting sqref="R17:AE17">
    <cfRule type="cellIs" dxfId="1197" priority="4357" operator="lessThan">
      <formula>0.8</formula>
    </cfRule>
    <cfRule type="cellIs" dxfId="1196" priority="4358" operator="greaterThanOrEqual">
      <formula>0.8</formula>
    </cfRule>
  </conditionalFormatting>
  <conditionalFormatting sqref="R17:AG17">
    <cfRule type="cellIs" dxfId="1195" priority="4359" operator="equal">
      <formula>"-"</formula>
    </cfRule>
  </conditionalFormatting>
  <conditionalFormatting sqref="S11:S12">
    <cfRule type="cellIs" dxfId="1194" priority="4300" operator="lessThanOrEqual">
      <formula>0.29</formula>
    </cfRule>
    <cfRule type="cellIs" dxfId="1193" priority="4299" operator="greaterThan">
      <formula>0.29</formula>
    </cfRule>
  </conditionalFormatting>
  <conditionalFormatting sqref="S13:S15">
    <cfRule type="cellIs" dxfId="1192" priority="4196" operator="lessThanOrEqual">
      <formula>0.1038</formula>
    </cfRule>
    <cfRule type="cellIs" dxfId="1191" priority="4195" operator="greaterThan">
      <formula>0.1038</formula>
    </cfRule>
  </conditionalFormatting>
  <conditionalFormatting sqref="T11:T12">
    <cfRule type="cellIs" dxfId="1190" priority="4296" operator="lessThanOrEqual">
      <formula>0.27</formula>
    </cfRule>
    <cfRule type="cellIs" dxfId="1189" priority="4295" operator="greaterThan">
      <formula>0.27</formula>
    </cfRule>
  </conditionalFormatting>
  <conditionalFormatting sqref="T13:T15">
    <cfRule type="cellIs" dxfId="1188" priority="4191" operator="greaterThan">
      <formula>0.066</formula>
    </cfRule>
    <cfRule type="cellIs" dxfId="1187" priority="4192" operator="lessThanOrEqual">
      <formula>0.066</formula>
    </cfRule>
  </conditionalFormatting>
  <conditionalFormatting sqref="U11:U12">
    <cfRule type="cellIs" dxfId="1186" priority="4291" operator="greaterThan">
      <formula>0.37</formula>
    </cfRule>
    <cfRule type="cellIs" dxfId="1185" priority="4292" operator="lessThanOrEqual">
      <formula>0.37</formula>
    </cfRule>
  </conditionalFormatting>
  <conditionalFormatting sqref="U13:U15">
    <cfRule type="cellIs" dxfId="1184" priority="4188" operator="lessThanOrEqual">
      <formula>0.0599</formula>
    </cfRule>
    <cfRule type="cellIs" dxfId="1183" priority="4187" operator="greaterThan">
      <formula>0.0599</formula>
    </cfRule>
  </conditionalFormatting>
  <conditionalFormatting sqref="V11:V12">
    <cfRule type="cellIs" dxfId="1182" priority="4288" operator="lessThanOrEqual">
      <formula>0.27</formula>
    </cfRule>
    <cfRule type="cellIs" dxfId="1181" priority="4287" operator="greaterThan">
      <formula>0.27</formula>
    </cfRule>
  </conditionalFormatting>
  <conditionalFormatting sqref="V13:V15">
    <cfRule type="cellIs" dxfId="1180" priority="4183" operator="greaterThan">
      <formula>0.0768</formula>
    </cfRule>
    <cfRule type="cellIs" dxfId="1179" priority="4184" operator="lessThanOrEqual">
      <formula>0.0768</formula>
    </cfRule>
  </conditionalFormatting>
  <conditionalFormatting sqref="W11:W12">
    <cfRule type="cellIs" dxfId="1178" priority="4284" operator="lessThanOrEqual">
      <formula>0.29</formula>
    </cfRule>
    <cfRule type="cellIs" dxfId="1177" priority="4283" operator="greaterThan">
      <formula>0.29</formula>
    </cfRule>
  </conditionalFormatting>
  <conditionalFormatting sqref="W13:W15">
    <cfRule type="cellIs" dxfId="1176" priority="4179" operator="greaterThan">
      <formula>0.0817</formula>
    </cfRule>
    <cfRule type="cellIs" dxfId="1175" priority="4180" operator="lessThanOrEqual">
      <formula>0.0817</formula>
    </cfRule>
  </conditionalFormatting>
  <conditionalFormatting sqref="X11:X12">
    <cfRule type="cellIs" dxfId="1174" priority="4280" operator="lessThanOrEqual">
      <formula>0.28</formula>
    </cfRule>
    <cfRule type="cellIs" dxfId="1173" priority="4279" operator="greaterThan">
      <formula>0.28</formula>
    </cfRule>
  </conditionalFormatting>
  <conditionalFormatting sqref="X13:X15">
    <cfRule type="cellIs" dxfId="1172" priority="4175" operator="greaterThan">
      <formula>0.0951</formula>
    </cfRule>
    <cfRule type="cellIs" dxfId="1171" priority="4176" operator="lessThanOrEqual">
      <formula>0.0951</formula>
    </cfRule>
  </conditionalFormatting>
  <conditionalFormatting sqref="Y11:Y12">
    <cfRule type="cellIs" dxfId="1170" priority="4276" operator="lessThanOrEqual">
      <formula>0.32</formula>
    </cfRule>
    <cfRule type="cellIs" dxfId="1169" priority="4275" operator="greaterThan">
      <formula>0.32</formula>
    </cfRule>
  </conditionalFormatting>
  <conditionalFormatting sqref="Y13:Y15">
    <cfRule type="cellIs" dxfId="1168" priority="4171" operator="greaterThan">
      <formula>0.0594</formula>
    </cfRule>
    <cfRule type="cellIs" dxfId="1167" priority="4172" operator="lessThanOrEqual">
      <formula>0.0594</formula>
    </cfRule>
  </conditionalFormatting>
  <conditionalFormatting sqref="Z11:Z12">
    <cfRule type="cellIs" dxfId="1166" priority="4272" operator="lessThanOrEqual">
      <formula>0.235</formula>
    </cfRule>
    <cfRule type="cellIs" dxfId="1165" priority="4271" operator="greaterThan">
      <formula>0.235</formula>
    </cfRule>
  </conditionalFormatting>
  <conditionalFormatting sqref="Z13:Z15">
    <cfRule type="cellIs" dxfId="1164" priority="4167" operator="greaterThan">
      <formula>0.0492</formula>
    </cfRule>
    <cfRule type="cellIs" dxfId="1163" priority="4168" operator="lessThanOrEqual">
      <formula>0.0492</formula>
    </cfRule>
  </conditionalFormatting>
  <conditionalFormatting sqref="AA11:AA12">
    <cfRule type="cellIs" dxfId="1162" priority="4268" operator="lessThanOrEqual">
      <formula>0.245</formula>
    </cfRule>
    <cfRule type="cellIs" dxfId="1161" priority="4267" operator="greaterThan">
      <formula>0.245</formula>
    </cfRule>
  </conditionalFormatting>
  <conditionalFormatting sqref="AA13:AA15">
    <cfRule type="cellIs" dxfId="1160" priority="4164" operator="lessThanOrEqual">
      <formula>0.0409</formula>
    </cfRule>
    <cfRule type="cellIs" dxfId="1159" priority="4163" operator="greaterThan">
      <formula>0.0409</formula>
    </cfRule>
  </conditionalFormatting>
  <conditionalFormatting sqref="AB11:AB12">
    <cfRule type="cellIs" dxfId="1158" priority="4264" operator="lessThanOrEqual">
      <formula>0.195</formula>
    </cfRule>
    <cfRule type="cellIs" dxfId="1157" priority="4263" operator="greaterThan">
      <formula>0.195</formula>
    </cfRule>
  </conditionalFormatting>
  <conditionalFormatting sqref="AB13:AB15">
    <cfRule type="cellIs" dxfId="1156" priority="4160" operator="lessThanOrEqual">
      <formula>0.0507</formula>
    </cfRule>
    <cfRule type="cellIs" dxfId="1155" priority="4159" operator="greaterThan">
      <formula>0.0507</formula>
    </cfRule>
  </conditionalFormatting>
  <conditionalFormatting sqref="AC13:AC15">
    <cfRule type="cellIs" dxfId="1154" priority="4155" operator="greaterThan">
      <formula>0.066</formula>
    </cfRule>
    <cfRule type="cellIs" dxfId="1153" priority="4156" operator="lessThanOrEqual">
      <formula>0.066</formula>
    </cfRule>
  </conditionalFormatting>
  <conditionalFormatting sqref="AC11:AD12">
    <cfRule type="cellIs" dxfId="1152" priority="4256" operator="lessThanOrEqual">
      <formula>0.245</formula>
    </cfRule>
    <cfRule type="cellIs" dxfId="1151" priority="4255" operator="greaterThan">
      <formula>0.245</formula>
    </cfRule>
  </conditionalFormatting>
  <conditionalFormatting sqref="AD13:AD15">
    <cfRule type="cellIs" dxfId="1150" priority="4151" operator="greaterThan">
      <formula>0.073</formula>
    </cfRule>
    <cfRule type="cellIs" dxfId="1149" priority="4152" operator="lessThanOrEqual">
      <formula>0.073</formula>
    </cfRule>
  </conditionalFormatting>
  <conditionalFormatting sqref="AE11:AE12">
    <cfRule type="cellIs" dxfId="1148" priority="4252" operator="lessThanOrEqual">
      <formula>0.225</formula>
    </cfRule>
    <cfRule type="cellIs" dxfId="1147" priority="4251" operator="greaterThan">
      <formula>0.225</formula>
    </cfRule>
  </conditionalFormatting>
  <conditionalFormatting sqref="AE13:AE15">
    <cfRule type="cellIs" dxfId="1146" priority="4147" operator="greaterThan">
      <formula>0.0518</formula>
    </cfRule>
    <cfRule type="cellIs" dxfId="1145" priority="4148" operator="lessThanOrEqual">
      <formula>0.0518</formula>
    </cfRule>
  </conditionalFormatting>
  <conditionalFormatting sqref="AF5 H9:I9">
    <cfRule type="cellIs" dxfId="1144" priority="4496" operator="lessThan">
      <formula>0.9</formula>
    </cfRule>
    <cfRule type="cellIs" dxfId="1143" priority="4497" operator="greaterThanOrEqual">
      <formula>0.9</formula>
    </cfRule>
  </conditionalFormatting>
  <conditionalFormatting sqref="AF8">
    <cfRule type="cellIs" dxfId="1142" priority="4484" operator="equal">
      <formula>"-"</formula>
    </cfRule>
    <cfRule type="containsBlanks" dxfId="1141" priority="4485">
      <formula>LEN(TRIM(AF8))=0</formula>
    </cfRule>
    <cfRule type="cellIs" dxfId="1140" priority="4486" operator="greaterThan">
      <formula>0.11</formula>
    </cfRule>
    <cfRule type="cellIs" dxfId="1139" priority="4487" operator="lessThanOrEqual">
      <formula>0.11</formula>
    </cfRule>
  </conditionalFormatting>
  <conditionalFormatting sqref="AF25:AF29">
    <cfRule type="containsBlanks" dxfId="1138" priority="4480">
      <formula>LEN(TRIM(AF25))=0</formula>
    </cfRule>
    <cfRule type="cellIs" dxfId="1137" priority="4481" operator="equal">
      <formula>"-"</formula>
    </cfRule>
    <cfRule type="cellIs" dxfId="1136" priority="4482" operator="lessThan">
      <formula>0.74</formula>
    </cfRule>
    <cfRule type="cellIs" dxfId="1135" priority="4483" operator="greaterThanOrEqual">
      <formula>0.74</formula>
    </cfRule>
  </conditionalFormatting>
  <conditionalFormatting sqref="AF17:AG17">
    <cfRule type="cellIs" dxfId="1134" priority="4493" operator="lessThan">
      <formula>0.8</formula>
    </cfRule>
    <cfRule type="cellIs" dxfId="1133" priority="4494" operator="greaterThanOrEqual">
      <formula>0.8</formula>
    </cfRule>
  </conditionalFormatting>
  <conditionalFormatting sqref="AH24:AM24">
    <cfRule type="containsBlanks" dxfId="1132" priority="4502">
      <formula>LEN(TRIM(AH24))=0</formula>
    </cfRule>
    <cfRule type="cellIs" dxfId="1131" priority="4503" operator="lessThan">
      <formula>0.84</formula>
    </cfRule>
    <cfRule type="cellIs" dxfId="1130" priority="4504" operator="greaterThanOrEqual">
      <formula>0.84</formula>
    </cfRule>
  </conditionalFormatting>
  <pageMargins left="0.7" right="0.7" top="0.75" bottom="0.75" header="0.3" footer="0.3"/>
  <pageSetup paperSize="9" orientation="landscape" horizontalDpi="4294967293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2"/>
  <sheetViews>
    <sheetView zoomScale="125" zoomScaleNormal="100" workbookViewId="0">
      <pane xSplit="1" ySplit="4" topLeftCell="M6" activePane="bottomRight" state="frozen"/>
      <selection pane="topRight" activeCell="E1" sqref="E1"/>
      <selection pane="bottomLeft" activeCell="A5" sqref="A5"/>
      <selection pane="bottomRight" activeCell="M18" sqref="M18"/>
    </sheetView>
  </sheetViews>
  <sheetFormatPr defaultColWidth="8.85546875" defaultRowHeight="12.75" x14ac:dyDescent="0.2"/>
  <cols>
    <col min="1" max="1" width="22.28515625" style="11" bestFit="1" customWidth="1"/>
    <col min="2" max="5" width="10.7109375" style="45" customWidth="1"/>
    <col min="6" max="7" width="10.7109375" style="11" hidden="1" customWidth="1"/>
    <col min="8" max="10" width="10.7109375" style="45" hidden="1" customWidth="1"/>
    <col min="11" max="11" width="12.42578125" style="11" hidden="1" customWidth="1"/>
    <col min="12" max="13" width="11.5703125" style="11" customWidth="1"/>
    <col min="14" max="14" width="12.42578125" style="11" hidden="1" customWidth="1"/>
    <col min="15" max="15" width="12.42578125" style="11" customWidth="1"/>
    <col min="16" max="16" width="8.28515625" style="11" customWidth="1"/>
    <col min="17" max="17" width="11.5703125" style="11" customWidth="1"/>
    <col min="18" max="21" width="12.42578125" style="11" customWidth="1"/>
    <col min="22" max="16384" width="8.85546875" style="11"/>
  </cols>
  <sheetData>
    <row r="1" spans="1:29" s="268" customFormat="1" ht="37.15" customHeight="1" thickBot="1" x14ac:dyDescent="0.3">
      <c r="A1" s="267" t="s">
        <v>279</v>
      </c>
      <c r="B1" s="348" t="s">
        <v>194</v>
      </c>
      <c r="C1" s="348"/>
      <c r="D1" s="348"/>
      <c r="E1" s="348"/>
      <c r="F1" s="348"/>
      <c r="G1" s="348"/>
      <c r="H1" s="348"/>
      <c r="I1" s="348"/>
      <c r="J1" s="348"/>
      <c r="K1" s="348"/>
      <c r="L1" s="348" t="s">
        <v>211</v>
      </c>
      <c r="M1" s="348"/>
      <c r="N1" s="348"/>
      <c r="O1" s="348"/>
      <c r="P1" s="348"/>
      <c r="Q1" s="348"/>
      <c r="R1" s="348"/>
      <c r="S1" s="348"/>
      <c r="T1" s="348"/>
      <c r="U1" s="348"/>
      <c r="V1" s="343"/>
      <c r="W1" s="343"/>
      <c r="X1" s="343"/>
      <c r="Y1" s="343"/>
      <c r="Z1" s="343"/>
      <c r="AA1" s="343"/>
      <c r="AB1" s="343"/>
      <c r="AC1" s="343"/>
    </row>
    <row r="2" spans="1:29" s="17" customFormat="1" ht="57" customHeight="1" thickBot="1" x14ac:dyDescent="0.3">
      <c r="A2" s="267" t="s">
        <v>312</v>
      </c>
      <c r="B2" s="269" t="s">
        <v>259</v>
      </c>
      <c r="C2" s="269" t="s">
        <v>260</v>
      </c>
      <c r="D2" s="269" t="s">
        <v>261</v>
      </c>
      <c r="E2" s="269" t="s">
        <v>310</v>
      </c>
      <c r="F2" s="271" t="s">
        <v>280</v>
      </c>
      <c r="G2" s="271" t="s">
        <v>281</v>
      </c>
      <c r="H2" s="271" t="s">
        <v>273</v>
      </c>
      <c r="I2" s="271" t="s">
        <v>274</v>
      </c>
      <c r="J2" s="271" t="s">
        <v>275</v>
      </c>
      <c r="K2" s="271" t="s">
        <v>276</v>
      </c>
      <c r="L2" s="269" t="s">
        <v>262</v>
      </c>
      <c r="M2" s="269" t="s">
        <v>263</v>
      </c>
      <c r="N2" s="269" t="s">
        <v>278</v>
      </c>
      <c r="O2" s="269" t="s">
        <v>295</v>
      </c>
      <c r="P2" s="346" t="s">
        <v>309</v>
      </c>
      <c r="Q2" s="346"/>
      <c r="R2" s="269" t="s">
        <v>264</v>
      </c>
      <c r="S2" s="269" t="s">
        <v>292</v>
      </c>
      <c r="T2" s="269" t="s">
        <v>307</v>
      </c>
      <c r="U2" s="271" t="s">
        <v>277</v>
      </c>
      <c r="V2" s="344"/>
      <c r="W2" s="344"/>
      <c r="X2" s="344"/>
      <c r="Y2" s="344"/>
      <c r="Z2" s="344"/>
      <c r="AA2" s="344"/>
      <c r="AB2" s="344"/>
      <c r="AC2" s="344"/>
    </row>
    <row r="3" spans="1:29" customFormat="1" ht="14.45" customHeight="1" thickBot="1" x14ac:dyDescent="0.3">
      <c r="A3" s="345" t="s">
        <v>39</v>
      </c>
      <c r="B3" s="347">
        <v>0.98</v>
      </c>
      <c r="C3" s="350">
        <v>6.0000000000000001E-3</v>
      </c>
      <c r="D3" s="347">
        <v>0.75</v>
      </c>
      <c r="E3" s="347">
        <v>0.95</v>
      </c>
      <c r="F3" s="347">
        <v>0.9</v>
      </c>
      <c r="G3" s="347">
        <v>0.91</v>
      </c>
      <c r="H3" s="347">
        <v>0.95</v>
      </c>
      <c r="I3" s="347">
        <v>0.95</v>
      </c>
      <c r="J3" s="347">
        <v>0.95</v>
      </c>
      <c r="K3" s="347">
        <v>0.04</v>
      </c>
      <c r="L3" s="351">
        <v>4.0000000000000001E-3</v>
      </c>
      <c r="M3" s="347">
        <v>0.9</v>
      </c>
      <c r="N3" s="347">
        <v>0.98</v>
      </c>
      <c r="O3" s="347">
        <v>0.85</v>
      </c>
      <c r="P3" s="347" t="s">
        <v>306</v>
      </c>
      <c r="Q3" s="347"/>
      <c r="R3" s="347">
        <v>0.8</v>
      </c>
      <c r="S3" s="347">
        <v>0.72</v>
      </c>
      <c r="T3" s="349">
        <v>0.91</v>
      </c>
      <c r="U3" s="347">
        <v>0.1</v>
      </c>
    </row>
    <row r="4" spans="1:29" customFormat="1" ht="15" customHeight="1" thickBot="1" x14ac:dyDescent="0.3">
      <c r="A4" s="345"/>
      <c r="B4" s="347"/>
      <c r="C4" s="350"/>
      <c r="D4" s="347"/>
      <c r="E4" s="347"/>
      <c r="F4" s="347"/>
      <c r="G4" s="347"/>
      <c r="H4" s="347"/>
      <c r="I4" s="347"/>
      <c r="J4" s="347"/>
      <c r="K4" s="347"/>
      <c r="L4" s="351"/>
      <c r="M4" s="347"/>
      <c r="N4" s="347"/>
      <c r="O4" s="347"/>
      <c r="P4" s="347"/>
      <c r="Q4" s="347"/>
      <c r="R4" s="347"/>
      <c r="S4" s="347"/>
      <c r="T4" s="349"/>
      <c r="U4" s="347"/>
    </row>
    <row r="5" spans="1:29" s="266" customFormat="1" ht="19.899999999999999" customHeight="1" thickBot="1" x14ac:dyDescent="0.3">
      <c r="A5" s="302" t="s">
        <v>42</v>
      </c>
      <c r="B5" s="303">
        <v>0.99172185430463577</v>
      </c>
      <c r="C5" s="303">
        <v>1.6556291390728477E-3</v>
      </c>
      <c r="D5" s="303">
        <v>0.84</v>
      </c>
      <c r="E5" s="303">
        <v>1</v>
      </c>
      <c r="F5" s="303"/>
      <c r="G5" s="303"/>
      <c r="H5" s="303"/>
      <c r="I5" s="303"/>
      <c r="J5" s="303"/>
      <c r="K5" s="303"/>
      <c r="L5" s="317">
        <v>0</v>
      </c>
      <c r="M5" s="303">
        <v>0.97675647120971998</v>
      </c>
      <c r="N5" s="303"/>
      <c r="O5" s="303">
        <v>0.74340659340659343</v>
      </c>
      <c r="P5" s="318">
        <v>0.35</v>
      </c>
      <c r="Q5" s="319">
        <v>0.49665190285270466</v>
      </c>
      <c r="R5" s="314">
        <v>0.84336419753086422</v>
      </c>
      <c r="S5" s="303">
        <v>0.84</v>
      </c>
      <c r="T5" s="303">
        <v>0.98329999999999995</v>
      </c>
      <c r="U5" s="303">
        <v>0.03</v>
      </c>
    </row>
    <row r="6" spans="1:29" s="266" customFormat="1" ht="19.899999999999999" customHeight="1" thickBot="1" x14ac:dyDescent="0.3">
      <c r="A6" s="308" t="s">
        <v>267</v>
      </c>
      <c r="B6" s="303">
        <v>0.99248120300751874</v>
      </c>
      <c r="C6" s="303">
        <v>0</v>
      </c>
      <c r="D6" s="311">
        <v>0.82</v>
      </c>
      <c r="E6" s="311">
        <v>1</v>
      </c>
      <c r="F6" s="303"/>
      <c r="G6" s="303"/>
      <c r="H6" s="303"/>
      <c r="I6" s="303"/>
      <c r="J6" s="303"/>
      <c r="K6" s="303"/>
      <c r="L6" s="317">
        <v>0</v>
      </c>
      <c r="M6" s="303">
        <v>0.96277915632754341</v>
      </c>
      <c r="N6" s="303"/>
      <c r="O6" s="303">
        <v>0.80180180180180183</v>
      </c>
      <c r="P6" s="318">
        <v>0.28907378855936045</v>
      </c>
      <c r="Q6" s="325">
        <v>0.37926276365069977</v>
      </c>
      <c r="R6" s="328">
        <v>0.88749999999999996</v>
      </c>
      <c r="S6" s="303">
        <v>0.82</v>
      </c>
      <c r="T6" s="303">
        <v>1</v>
      </c>
      <c r="U6" s="320">
        <v>0.09</v>
      </c>
    </row>
    <row r="7" spans="1:29" s="266" customFormat="1" ht="19.899999999999999" customHeight="1" thickBot="1" x14ac:dyDescent="0.3">
      <c r="A7" s="308" t="s">
        <v>268</v>
      </c>
      <c r="B7" s="303">
        <v>1</v>
      </c>
      <c r="C7" s="303">
        <v>0</v>
      </c>
      <c r="D7" s="303">
        <v>0.84799999999999998</v>
      </c>
      <c r="E7" s="311">
        <v>1</v>
      </c>
      <c r="F7" s="303"/>
      <c r="G7" s="303"/>
      <c r="H7" s="303"/>
      <c r="I7" s="303"/>
      <c r="J7" s="303"/>
      <c r="K7" s="303"/>
      <c r="L7" s="317">
        <v>0</v>
      </c>
      <c r="M7" s="311">
        <v>0.96296296296296291</v>
      </c>
      <c r="N7" s="303"/>
      <c r="O7" s="303">
        <v>0.79166666666666663</v>
      </c>
      <c r="P7" s="318">
        <v>0.30026096742870056</v>
      </c>
      <c r="Q7" s="326">
        <v>0.46981318526187005</v>
      </c>
      <c r="R7" s="328">
        <v>0.7615384615384615</v>
      </c>
      <c r="S7" s="303">
        <v>0.84799999999999998</v>
      </c>
      <c r="T7" s="303">
        <v>1</v>
      </c>
      <c r="U7" s="324">
        <v>0.04</v>
      </c>
    </row>
    <row r="8" spans="1:29" s="266" customFormat="1" ht="19.899999999999999" customHeight="1" thickBot="1" x14ac:dyDescent="0.3">
      <c r="A8" s="308" t="s">
        <v>269</v>
      </c>
      <c r="B8" s="303">
        <v>0.98529411764705888</v>
      </c>
      <c r="C8" s="303">
        <v>0</v>
      </c>
      <c r="D8" s="303">
        <v>0.88200000000000001</v>
      </c>
      <c r="E8" s="311">
        <v>1</v>
      </c>
      <c r="F8" s="303"/>
      <c r="G8" s="303"/>
      <c r="H8" s="303"/>
      <c r="I8" s="303"/>
      <c r="J8" s="303"/>
      <c r="K8" s="321"/>
      <c r="L8" s="317">
        <v>0</v>
      </c>
      <c r="M8" s="311">
        <v>0.96153846153846156</v>
      </c>
      <c r="N8" s="303"/>
      <c r="O8" s="303">
        <v>0.64202334630350189</v>
      </c>
      <c r="P8" s="318">
        <v>0.32102360370800154</v>
      </c>
      <c r="Q8" s="325">
        <v>0.39873493256951903</v>
      </c>
      <c r="R8" s="329">
        <v>0.91818181818181821</v>
      </c>
      <c r="S8" s="303">
        <v>0.88200000000000001</v>
      </c>
      <c r="T8" s="303">
        <v>0.92859999999999998</v>
      </c>
      <c r="U8" s="324">
        <v>0</v>
      </c>
    </row>
    <row r="9" spans="1:29" s="266" customFormat="1" ht="19.899999999999999" customHeight="1" thickBot="1" x14ac:dyDescent="0.3">
      <c r="A9" s="308" t="s">
        <v>270</v>
      </c>
      <c r="B9" s="303">
        <v>1</v>
      </c>
      <c r="C9" s="303">
        <v>0</v>
      </c>
      <c r="D9" s="303">
        <v>0.92900000000000005</v>
      </c>
      <c r="E9" s="311">
        <v>1</v>
      </c>
      <c r="F9" s="307"/>
      <c r="G9" s="307"/>
      <c r="H9" s="303"/>
      <c r="I9" s="303"/>
      <c r="J9" s="303"/>
      <c r="K9" s="303"/>
      <c r="L9" s="317">
        <v>0</v>
      </c>
      <c r="M9" s="311">
        <v>0.99319727891156462</v>
      </c>
      <c r="N9" s="303"/>
      <c r="O9" s="303">
        <v>0.66901408450704225</v>
      </c>
      <c r="P9" s="318">
        <v>0.50059752715405081</v>
      </c>
      <c r="Q9" s="325">
        <v>0.83823362470200924</v>
      </c>
      <c r="R9" s="327">
        <v>0.64835164835164838</v>
      </c>
      <c r="S9" s="303">
        <v>0.92900000000000005</v>
      </c>
      <c r="T9" s="322">
        <v>1</v>
      </c>
      <c r="U9" s="324">
        <v>0.04</v>
      </c>
    </row>
    <row r="10" spans="1:29" s="266" customFormat="1" ht="19.899999999999999" customHeight="1" thickBot="1" x14ac:dyDescent="0.3">
      <c r="A10" s="312" t="s">
        <v>271</v>
      </c>
      <c r="B10" s="303">
        <v>1</v>
      </c>
      <c r="C10" s="303">
        <v>0</v>
      </c>
      <c r="D10" s="303">
        <v>0.876</v>
      </c>
      <c r="E10" s="311">
        <v>1</v>
      </c>
      <c r="F10" s="311"/>
      <c r="G10" s="303"/>
      <c r="H10" s="303"/>
      <c r="I10" s="303"/>
      <c r="J10" s="303"/>
      <c r="K10" s="303"/>
      <c r="L10" s="317">
        <v>0</v>
      </c>
      <c r="M10" s="303">
        <v>0.98265895953757221</v>
      </c>
      <c r="N10" s="303"/>
      <c r="O10" s="303">
        <v>0.7167630057803468</v>
      </c>
      <c r="P10" s="318">
        <v>0.45396518444182599</v>
      </c>
      <c r="Q10" s="325">
        <v>0.79804834774894662</v>
      </c>
      <c r="R10" s="329">
        <v>0.84848484848484851</v>
      </c>
      <c r="S10" s="303">
        <v>0.876</v>
      </c>
      <c r="T10" s="303">
        <v>1</v>
      </c>
      <c r="U10" s="324">
        <v>0.01</v>
      </c>
    </row>
    <row r="11" spans="1:29" s="266" customFormat="1" ht="19.899999999999999" customHeight="1" thickBot="1" x14ac:dyDescent="0.3">
      <c r="A11" s="315" t="s">
        <v>272</v>
      </c>
      <c r="B11" s="303">
        <v>0.98969072164948457</v>
      </c>
      <c r="C11" s="303">
        <v>5.1546391752577319E-3</v>
      </c>
      <c r="D11" s="311">
        <v>0.80300000000000005</v>
      </c>
      <c r="E11" s="303">
        <v>1</v>
      </c>
      <c r="F11" s="303"/>
      <c r="G11" s="303"/>
      <c r="H11" s="303"/>
      <c r="I11" s="303"/>
      <c r="J11" s="303"/>
      <c r="K11" s="303"/>
      <c r="L11" s="317">
        <v>0</v>
      </c>
      <c r="M11" s="303">
        <v>0.99232245681381959</v>
      </c>
      <c r="N11" s="303"/>
      <c r="O11" s="303">
        <v>0.77454545454545454</v>
      </c>
      <c r="P11" s="318">
        <v>0.35430511520027536</v>
      </c>
      <c r="Q11" s="325">
        <v>0.48657661029636939</v>
      </c>
      <c r="R11" s="328">
        <v>0.84330484330484334</v>
      </c>
      <c r="S11" s="303">
        <v>0.80300000000000005</v>
      </c>
      <c r="T11" s="303">
        <v>1</v>
      </c>
      <c r="U11" s="324">
        <v>0</v>
      </c>
    </row>
    <row r="12" spans="1:29" ht="15" customHeight="1" x14ac:dyDescent="0.2">
      <c r="B12" s="11"/>
      <c r="C12" s="11"/>
      <c r="D12" s="11"/>
      <c r="E12" s="11"/>
      <c r="H12" s="11"/>
      <c r="I12" s="11"/>
      <c r="J12" s="11"/>
    </row>
    <row r="13" spans="1:29" x14ac:dyDescent="0.2">
      <c r="B13" s="11"/>
      <c r="C13" s="11"/>
      <c r="D13" s="11"/>
      <c r="E13" s="11"/>
      <c r="I13" s="11"/>
      <c r="J13" s="11"/>
      <c r="R13" s="281"/>
      <c r="S13" s="281"/>
      <c r="T13" s="281"/>
    </row>
    <row r="14" spans="1:29" x14ac:dyDescent="0.2">
      <c r="B14" s="11"/>
      <c r="C14" s="11"/>
      <c r="D14" s="11"/>
      <c r="E14" s="11"/>
      <c r="I14" s="11"/>
      <c r="J14" s="11"/>
      <c r="R14" s="281"/>
      <c r="S14" s="281"/>
      <c r="T14" s="281"/>
    </row>
    <row r="15" spans="1:29" x14ac:dyDescent="0.2">
      <c r="B15" s="11"/>
      <c r="C15" s="11"/>
      <c r="D15" s="11"/>
      <c r="E15" s="11"/>
      <c r="I15" s="11"/>
      <c r="J15" s="11"/>
      <c r="P15" s="282"/>
      <c r="R15" s="281"/>
      <c r="S15" s="281"/>
      <c r="T15" s="281"/>
    </row>
    <row r="16" spans="1:29" x14ac:dyDescent="0.2">
      <c r="B16" s="11"/>
      <c r="C16" s="11"/>
      <c r="D16" s="11"/>
      <c r="E16" s="11"/>
      <c r="I16" s="11"/>
      <c r="J16" s="11"/>
      <c r="P16" s="282"/>
      <c r="R16" s="281"/>
      <c r="S16" s="281"/>
      <c r="T16" s="281"/>
    </row>
    <row r="17" spans="2:20" x14ac:dyDescent="0.2">
      <c r="B17" s="11"/>
      <c r="C17" s="11"/>
      <c r="D17" s="11"/>
      <c r="E17" s="11"/>
      <c r="I17" s="11"/>
      <c r="J17" s="11"/>
      <c r="P17" s="282"/>
      <c r="R17" s="281"/>
      <c r="S17" s="281"/>
      <c r="T17" s="281"/>
    </row>
    <row r="18" spans="2:20" x14ac:dyDescent="0.2">
      <c r="B18" s="11"/>
      <c r="C18" s="11"/>
      <c r="D18" s="11"/>
      <c r="E18" s="11"/>
      <c r="I18" s="11"/>
      <c r="J18" s="11"/>
      <c r="P18" s="282"/>
      <c r="R18" s="281"/>
      <c r="S18" s="281"/>
      <c r="T18" s="281"/>
    </row>
    <row r="19" spans="2:20" x14ac:dyDescent="0.2">
      <c r="B19" s="11"/>
      <c r="C19" s="11"/>
      <c r="D19" s="11"/>
      <c r="E19" s="11"/>
      <c r="I19" s="11"/>
      <c r="J19" s="11"/>
      <c r="P19" s="282"/>
      <c r="R19" s="281"/>
      <c r="S19" s="281"/>
      <c r="T19" s="281"/>
    </row>
    <row r="20" spans="2:20" x14ac:dyDescent="0.2">
      <c r="B20" s="11"/>
      <c r="C20" s="11"/>
      <c r="D20" s="11"/>
      <c r="E20" s="11"/>
      <c r="I20" s="11"/>
      <c r="J20" s="11"/>
      <c r="P20" s="282"/>
    </row>
    <row r="21" spans="2:20" x14ac:dyDescent="0.2">
      <c r="B21" s="11"/>
      <c r="C21" s="11"/>
      <c r="D21" s="11"/>
      <c r="E21" s="11"/>
      <c r="I21" s="11"/>
      <c r="J21" s="11"/>
      <c r="P21" s="282"/>
    </row>
    <row r="22" spans="2:20" x14ac:dyDescent="0.2">
      <c r="B22" s="11"/>
      <c r="C22" s="11"/>
      <c r="D22" s="11"/>
      <c r="E22" s="11"/>
      <c r="I22" s="11"/>
      <c r="J22" s="11"/>
    </row>
    <row r="23" spans="2:20" x14ac:dyDescent="0.2">
      <c r="B23" s="11"/>
      <c r="C23" s="11"/>
      <c r="D23" s="11"/>
      <c r="E23" s="11"/>
      <c r="I23" s="11"/>
      <c r="J23" s="11"/>
    </row>
    <row r="24" spans="2:20" x14ac:dyDescent="0.2">
      <c r="B24" s="11"/>
      <c r="C24" s="11"/>
      <c r="D24" s="11"/>
      <c r="E24" s="11"/>
      <c r="I24" s="11"/>
      <c r="J24" s="11"/>
    </row>
    <row r="25" spans="2:20" x14ac:dyDescent="0.2">
      <c r="B25" s="11"/>
      <c r="C25" s="11"/>
      <c r="D25" s="11"/>
      <c r="E25" s="11"/>
      <c r="I25" s="11"/>
      <c r="J25" s="11"/>
    </row>
    <row r="26" spans="2:20" x14ac:dyDescent="0.2">
      <c r="B26" s="11"/>
      <c r="C26" s="11"/>
      <c r="D26" s="11"/>
      <c r="E26" s="11"/>
      <c r="I26" s="11"/>
      <c r="J26" s="11"/>
    </row>
    <row r="27" spans="2:20" x14ac:dyDescent="0.2">
      <c r="B27" s="11"/>
      <c r="C27" s="11"/>
      <c r="D27" s="11"/>
      <c r="E27" s="11"/>
      <c r="I27" s="11"/>
      <c r="J27" s="11"/>
    </row>
    <row r="28" spans="2:20" x14ac:dyDescent="0.2">
      <c r="B28" s="11"/>
      <c r="C28" s="11"/>
      <c r="D28" s="11"/>
      <c r="E28" s="11"/>
      <c r="I28" s="11"/>
      <c r="J28" s="11"/>
    </row>
    <row r="29" spans="2:20" x14ac:dyDescent="0.2">
      <c r="B29" s="11"/>
      <c r="C29" s="11"/>
      <c r="D29" s="11"/>
      <c r="E29" s="11"/>
      <c r="I29" s="11"/>
      <c r="J29" s="11"/>
    </row>
    <row r="30" spans="2:20" x14ac:dyDescent="0.2">
      <c r="E30" s="265"/>
    </row>
    <row r="32" spans="2:20" ht="14.25" customHeight="1" x14ac:dyDescent="0.2"/>
  </sheetData>
  <mergeCells count="31">
    <mergeCell ref="AC1:AC2"/>
    <mergeCell ref="I3:I4"/>
    <mergeCell ref="J3:J4"/>
    <mergeCell ref="B3:B4"/>
    <mergeCell ref="C3:C4"/>
    <mergeCell ref="D3:D4"/>
    <mergeCell ref="E3:E4"/>
    <mergeCell ref="F3:F4"/>
    <mergeCell ref="G3:G4"/>
    <mergeCell ref="L3:L4"/>
    <mergeCell ref="M3:M4"/>
    <mergeCell ref="R3:R4"/>
    <mergeCell ref="N3:N4"/>
    <mergeCell ref="X1:X2"/>
    <mergeCell ref="Y1:Y2"/>
    <mergeCell ref="AB1:AB2"/>
    <mergeCell ref="Z1:Z2"/>
    <mergeCell ref="AA1:AA2"/>
    <mergeCell ref="A3:A4"/>
    <mergeCell ref="P2:Q2"/>
    <mergeCell ref="V1:V2"/>
    <mergeCell ref="W1:W2"/>
    <mergeCell ref="U3:U4"/>
    <mergeCell ref="K3:K4"/>
    <mergeCell ref="B1:K1"/>
    <mergeCell ref="L1:U1"/>
    <mergeCell ref="P3:Q4"/>
    <mergeCell ref="O3:O4"/>
    <mergeCell ref="H3:H4"/>
    <mergeCell ref="S3:S4"/>
    <mergeCell ref="T3:T4"/>
  </mergeCells>
  <conditionalFormatting sqref="B5:B11 H5:J11">
    <cfRule type="cellIs" dxfId="1129" priority="234" operator="lessThan">
      <formula>0.98</formula>
    </cfRule>
    <cfRule type="cellIs" dxfId="1128" priority="235" operator="greaterThan">
      <formula>0.98</formula>
    </cfRule>
  </conditionalFormatting>
  <conditionalFormatting sqref="C5:C11">
    <cfRule type="cellIs" dxfId="1127" priority="225" operator="greaterThan">
      <formula>0.006</formula>
    </cfRule>
    <cfRule type="cellIs" dxfId="1126" priority="226" operator="lessThan">
      <formula>0.006</formula>
    </cfRule>
  </conditionalFormatting>
  <conditionalFormatting sqref="D5:D11">
    <cfRule type="cellIs" dxfId="1125" priority="227" operator="lessThan">
      <formula>0.75</formula>
    </cfRule>
    <cfRule type="cellIs" dxfId="1124" priority="228" operator="greaterThan">
      <formula>0.75</formula>
    </cfRule>
  </conditionalFormatting>
  <conditionalFormatting sqref="E5:E11">
    <cfRule type="cellIs" dxfId="1123" priority="231" operator="lessThan">
      <formula>0.95</formula>
    </cfRule>
    <cfRule type="cellIs" dxfId="1122" priority="232" operator="greaterThan">
      <formula>0.95</formula>
    </cfRule>
  </conditionalFormatting>
  <conditionalFormatting sqref="F5:F8 F10:F11">
    <cfRule type="cellIs" dxfId="1121" priority="223" operator="lessThan">
      <formula>0.9</formula>
    </cfRule>
    <cfRule type="cellIs" dxfId="1120" priority="224" operator="greaterThan">
      <formula>0.9</formula>
    </cfRule>
  </conditionalFormatting>
  <conditionalFormatting sqref="G5:G8 G10:G11">
    <cfRule type="cellIs" dxfId="1119" priority="221" operator="lessThan">
      <formula>0.91</formula>
    </cfRule>
    <cfRule type="cellIs" dxfId="1118" priority="222" operator="greaterThan">
      <formula>0.91</formula>
    </cfRule>
  </conditionalFormatting>
  <conditionalFormatting sqref="K5:K11">
    <cfRule type="cellIs" dxfId="1117" priority="203" operator="greaterThan">
      <formula>0.04</formula>
    </cfRule>
    <cfRule type="cellIs" dxfId="1116" priority="204" operator="lessThan">
      <formula>0.04</formula>
    </cfRule>
  </conditionalFormatting>
  <conditionalFormatting sqref="L5:L11">
    <cfRule type="cellIs" dxfId="1115" priority="217" operator="greaterThan">
      <formula>0.004</formula>
    </cfRule>
    <cfRule type="cellIs" dxfId="1114" priority="218" operator="lessThan">
      <formula>0.004</formula>
    </cfRule>
  </conditionalFormatting>
  <conditionalFormatting sqref="M5:M11">
    <cfRule type="cellIs" dxfId="1113" priority="229" operator="lessThan">
      <formula>0.9</formula>
    </cfRule>
    <cfRule type="cellIs" dxfId="1112" priority="230" operator="greaterThan">
      <formula>0.9</formula>
    </cfRule>
  </conditionalFormatting>
  <conditionalFormatting sqref="N5:N11">
    <cfRule type="cellIs" dxfId="1111" priority="213" operator="lessThan">
      <formula>0.98</formula>
    </cfRule>
    <cfRule type="cellIs" dxfId="1110" priority="214" operator="greaterThan">
      <formula>0.98</formula>
    </cfRule>
  </conditionalFormatting>
  <conditionalFormatting sqref="O5:O11">
    <cfRule type="cellIs" dxfId="1109" priority="211" operator="lessThan">
      <formula>0.85</formula>
    </cfRule>
    <cfRule type="cellIs" dxfId="1108" priority="212" operator="greaterThan">
      <formula>0.85</formula>
    </cfRule>
  </conditionalFormatting>
  <conditionalFormatting sqref="S5:S11">
    <cfRule type="cellIs" dxfId="1107" priority="1" operator="greaterThan">
      <formula>0.72</formula>
    </cfRule>
    <cfRule type="cellIs" dxfId="1106" priority="2" operator="lessThan">
      <formula>0.72</formula>
    </cfRule>
  </conditionalFormatting>
  <conditionalFormatting sqref="T5:T11">
    <cfRule type="cellIs" dxfId="1105" priority="18" operator="lessThan">
      <formula>0.91</formula>
    </cfRule>
    <cfRule type="cellIs" dxfId="1104" priority="20" operator="greaterThan">
      <formula>0.91</formula>
    </cfRule>
  </conditionalFormatting>
  <conditionalFormatting sqref="U5:U11">
    <cfRule type="cellIs" dxfId="1103" priority="205" operator="greaterThan">
      <formula>0.1</formula>
    </cfRule>
    <cfRule type="cellIs" dxfId="1102" priority="206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CF87-EA1B-4915-A874-8C78D2E45E24}">
  <dimension ref="A1:T14"/>
  <sheetViews>
    <sheetView zoomScale="115" zoomScaleNormal="115" workbookViewId="0">
      <pane xSplit="1" ySplit="4" topLeftCell="B5" activePane="bottomRight" state="frozen"/>
      <selection pane="topRight" activeCell="E1" sqref="E1"/>
      <selection pane="bottomLeft" activeCell="A5" sqref="A5"/>
      <selection pane="bottomRight" activeCell="B5" sqref="B5"/>
    </sheetView>
  </sheetViews>
  <sheetFormatPr defaultColWidth="8.85546875" defaultRowHeight="12.75" x14ac:dyDescent="0.2"/>
  <cols>
    <col min="1" max="1" width="22.28515625" style="11" bestFit="1" customWidth="1"/>
    <col min="2" max="2" width="10.7109375" style="45" customWidth="1"/>
    <col min="3" max="3" width="12.42578125" style="11" customWidth="1"/>
    <col min="4" max="4" width="10.7109375" style="45" customWidth="1"/>
    <col min="5" max="5" width="11.5703125" style="11" customWidth="1"/>
    <col min="6" max="7" width="12.42578125" style="11" customWidth="1"/>
    <col min="8" max="8" width="11.5703125" style="11" customWidth="1"/>
    <col min="9" max="9" width="12.42578125" style="11" customWidth="1"/>
    <col min="10" max="11" width="12.42578125" style="11" hidden="1" customWidth="1"/>
    <col min="12" max="12" width="12.42578125" style="11" customWidth="1"/>
    <col min="13" max="16384" width="8.85546875" style="11"/>
  </cols>
  <sheetData>
    <row r="1" spans="1:20" s="268" customFormat="1" ht="37.15" customHeight="1" thickBot="1" x14ac:dyDescent="0.3">
      <c r="A1" s="287" t="s">
        <v>279</v>
      </c>
      <c r="B1" s="356" t="s">
        <v>194</v>
      </c>
      <c r="C1" s="357"/>
      <c r="D1" s="358"/>
      <c r="E1" s="356" t="s">
        <v>211</v>
      </c>
      <c r="F1" s="357"/>
      <c r="G1" s="357"/>
      <c r="H1" s="357"/>
      <c r="I1" s="357"/>
      <c r="J1" s="357"/>
      <c r="K1" s="357"/>
      <c r="L1" s="358"/>
      <c r="M1" s="343"/>
      <c r="N1" s="343"/>
      <c r="O1" s="343"/>
      <c r="P1" s="343"/>
      <c r="Q1" s="343"/>
      <c r="R1" s="343"/>
      <c r="S1" s="343"/>
      <c r="T1" s="343"/>
    </row>
    <row r="2" spans="1:20" s="17" customFormat="1" ht="57" customHeight="1" thickBot="1" x14ac:dyDescent="0.3">
      <c r="A2" s="287" t="s">
        <v>311</v>
      </c>
      <c r="B2" s="269" t="s">
        <v>297</v>
      </c>
      <c r="C2" s="279" t="s">
        <v>301</v>
      </c>
      <c r="D2" s="279" t="s">
        <v>261</v>
      </c>
      <c r="E2" s="269" t="s">
        <v>297</v>
      </c>
      <c r="F2" s="269" t="s">
        <v>298</v>
      </c>
      <c r="G2" s="269" t="s">
        <v>299</v>
      </c>
      <c r="H2" s="269" t="s">
        <v>300</v>
      </c>
      <c r="I2" s="269" t="s">
        <v>302</v>
      </c>
      <c r="J2" s="299" t="s">
        <v>304</v>
      </c>
      <c r="K2" s="269" t="s">
        <v>305</v>
      </c>
      <c r="L2" s="269" t="s">
        <v>303</v>
      </c>
      <c r="M2" s="344"/>
      <c r="N2" s="344"/>
      <c r="O2" s="344"/>
      <c r="P2" s="344"/>
      <c r="Q2" s="344"/>
      <c r="R2" s="344"/>
      <c r="S2" s="344"/>
      <c r="T2" s="344"/>
    </row>
    <row r="3" spans="1:20" customFormat="1" ht="14.45" customHeight="1" x14ac:dyDescent="0.25">
      <c r="A3" s="352" t="s">
        <v>39</v>
      </c>
      <c r="B3" s="354">
        <v>0.9</v>
      </c>
      <c r="C3" s="359">
        <v>0.83</v>
      </c>
      <c r="D3" s="361">
        <v>0.95</v>
      </c>
      <c r="E3" s="363">
        <v>0.83</v>
      </c>
      <c r="F3" s="365">
        <v>0.98</v>
      </c>
      <c r="G3" s="365">
        <v>0.99</v>
      </c>
      <c r="H3" s="367">
        <v>1</v>
      </c>
      <c r="I3" s="369">
        <v>0.8</v>
      </c>
      <c r="J3" s="373">
        <v>0.99</v>
      </c>
      <c r="K3" s="369">
        <v>0.93</v>
      </c>
      <c r="L3" s="371">
        <v>2.7</v>
      </c>
    </row>
    <row r="4" spans="1:20" customFormat="1" ht="15" customHeight="1" thickBot="1" x14ac:dyDescent="0.3">
      <c r="A4" s="353"/>
      <c r="B4" s="355"/>
      <c r="C4" s="360"/>
      <c r="D4" s="362"/>
      <c r="E4" s="364"/>
      <c r="F4" s="366"/>
      <c r="G4" s="366"/>
      <c r="H4" s="368"/>
      <c r="I4" s="370"/>
      <c r="J4" s="374"/>
      <c r="K4" s="370"/>
      <c r="L4" s="372"/>
    </row>
    <row r="5" spans="1:20" s="266" customFormat="1" ht="19.899999999999999" customHeight="1" x14ac:dyDescent="0.25">
      <c r="A5" s="288" t="s">
        <v>42</v>
      </c>
      <c r="B5" s="293"/>
      <c r="C5" s="270"/>
      <c r="D5" s="270"/>
      <c r="E5" s="297"/>
      <c r="F5" s="270"/>
      <c r="G5" s="270"/>
      <c r="H5" s="285"/>
      <c r="I5" s="298"/>
      <c r="J5" s="294"/>
      <c r="K5" s="272"/>
      <c r="L5" s="292"/>
    </row>
    <row r="6" spans="1:20" s="266" customFormat="1" ht="19.899999999999999" customHeight="1" x14ac:dyDescent="0.25">
      <c r="A6" s="289" t="s">
        <v>267</v>
      </c>
      <c r="B6" s="277"/>
      <c r="C6" s="270"/>
      <c r="D6" s="270"/>
      <c r="E6" s="297"/>
      <c r="F6" s="270"/>
      <c r="G6" s="285"/>
      <c r="H6" s="285"/>
      <c r="I6" s="298"/>
      <c r="J6" s="295"/>
      <c r="K6" s="273"/>
      <c r="L6" s="283"/>
    </row>
    <row r="7" spans="1:20" s="266" customFormat="1" ht="19.899999999999999" customHeight="1" x14ac:dyDescent="0.25">
      <c r="A7" s="289" t="s">
        <v>268</v>
      </c>
      <c r="B7" s="277"/>
      <c r="C7" s="270"/>
      <c r="D7" s="270"/>
      <c r="E7" s="280"/>
      <c r="F7" s="285"/>
      <c r="G7" s="285"/>
      <c r="H7" s="285"/>
      <c r="I7" s="298"/>
      <c r="J7" s="295"/>
      <c r="K7" s="273"/>
      <c r="L7" s="283"/>
    </row>
    <row r="8" spans="1:20" s="266" customFormat="1" ht="19.899999999999999" customHeight="1" x14ac:dyDescent="0.25">
      <c r="A8" s="289" t="s">
        <v>269</v>
      </c>
      <c r="B8" s="277"/>
      <c r="C8" s="275"/>
      <c r="D8" s="276"/>
      <c r="E8" s="280"/>
      <c r="F8" s="285"/>
      <c r="G8" s="285"/>
      <c r="H8" s="285"/>
      <c r="I8" s="276"/>
      <c r="J8" s="295"/>
      <c r="K8" s="273"/>
      <c r="L8" s="283"/>
    </row>
    <row r="9" spans="1:20" s="266" customFormat="1" ht="19.899999999999999" customHeight="1" x14ac:dyDescent="0.25">
      <c r="A9" s="289" t="s">
        <v>270</v>
      </c>
      <c r="B9" s="280"/>
      <c r="C9" s="275"/>
      <c r="D9" s="276"/>
      <c r="E9" s="297"/>
      <c r="F9" s="270"/>
      <c r="G9" s="270"/>
      <c r="H9" s="285"/>
      <c r="I9" s="276"/>
      <c r="J9" s="295"/>
      <c r="K9" s="273"/>
      <c r="L9" s="283"/>
    </row>
    <row r="10" spans="1:20" s="266" customFormat="1" ht="19.899999999999999" customHeight="1" x14ac:dyDescent="0.25">
      <c r="A10" s="290" t="s">
        <v>271</v>
      </c>
      <c r="B10" s="277"/>
      <c r="C10" s="275"/>
      <c r="D10" s="270"/>
      <c r="E10" s="297"/>
      <c r="F10" s="285"/>
      <c r="G10" s="270"/>
      <c r="H10" s="285"/>
      <c r="I10" s="276"/>
      <c r="J10" s="295"/>
      <c r="K10" s="273"/>
      <c r="L10" s="283"/>
    </row>
    <row r="11" spans="1:20" s="266" customFormat="1" ht="19.899999999999999" customHeight="1" thickBot="1" x14ac:dyDescent="0.3">
      <c r="A11" s="291" t="s">
        <v>272</v>
      </c>
      <c r="B11" s="278"/>
      <c r="C11" s="300"/>
      <c r="D11" s="300"/>
      <c r="E11" s="297"/>
      <c r="F11" s="270"/>
      <c r="G11" s="270"/>
      <c r="H11" s="286"/>
      <c r="I11" s="301"/>
      <c r="J11" s="296"/>
      <c r="K11" s="274"/>
      <c r="L11" s="284"/>
    </row>
    <row r="12" spans="1:20" ht="15" customHeight="1" x14ac:dyDescent="0.2">
      <c r="B12" s="11"/>
      <c r="D12" s="11"/>
    </row>
    <row r="13" spans="1:20" x14ac:dyDescent="0.2">
      <c r="B13" s="11"/>
      <c r="C13" s="281"/>
      <c r="D13" s="11"/>
      <c r="G13" s="282"/>
      <c r="I13" s="281"/>
      <c r="J13" s="281"/>
      <c r="K13" s="281"/>
      <c r="L13" s="281"/>
    </row>
    <row r="14" spans="1:20" x14ac:dyDescent="0.2">
      <c r="B14" s="11"/>
      <c r="C14" s="281"/>
      <c r="D14" s="11"/>
      <c r="G14" s="282"/>
      <c r="I14" s="281"/>
      <c r="J14" s="281"/>
      <c r="K14" s="281"/>
      <c r="L14" s="281"/>
    </row>
  </sheetData>
  <mergeCells count="22">
    <mergeCell ref="A3:A4"/>
    <mergeCell ref="B3:B4"/>
    <mergeCell ref="B1:D1"/>
    <mergeCell ref="M1:M2"/>
    <mergeCell ref="N1:N2"/>
    <mergeCell ref="C3:C4"/>
    <mergeCell ref="D3:D4"/>
    <mergeCell ref="E3:E4"/>
    <mergeCell ref="F3:F4"/>
    <mergeCell ref="G3:G4"/>
    <mergeCell ref="H3:H4"/>
    <mergeCell ref="I3:I4"/>
    <mergeCell ref="L3:L4"/>
    <mergeCell ref="J3:J4"/>
    <mergeCell ref="K3:K4"/>
    <mergeCell ref="E1:L1"/>
    <mergeCell ref="Q1:Q2"/>
    <mergeCell ref="R1:R2"/>
    <mergeCell ref="S1:S2"/>
    <mergeCell ref="T1:T2"/>
    <mergeCell ref="O1:O2"/>
    <mergeCell ref="P1:P2"/>
  </mergeCells>
  <conditionalFormatting sqref="B5">
    <cfRule type="cellIs" dxfId="1101" priority="163" operator="greaterThan">
      <formula>0.9</formula>
    </cfRule>
  </conditionalFormatting>
  <conditionalFormatting sqref="B5:B8">
    <cfRule type="cellIs" dxfId="1100" priority="114" operator="lessThan">
      <formula>0.9</formula>
    </cfRule>
  </conditionalFormatting>
  <conditionalFormatting sqref="B6:B8">
    <cfRule type="cellIs" dxfId="1099" priority="39" operator="greaterThan">
      <formula>0.8</formula>
    </cfRule>
  </conditionalFormatting>
  <conditionalFormatting sqref="B10">
    <cfRule type="cellIs" dxfId="1098" priority="9" operator="greaterThan">
      <formula>0.8</formula>
    </cfRule>
    <cfRule type="cellIs" dxfId="1097" priority="10" operator="lessThan">
      <formula>0.9</formula>
    </cfRule>
  </conditionalFormatting>
  <conditionalFormatting sqref="B11">
    <cfRule type="cellIs" dxfId="1096" priority="61" operator="greaterThan">
      <formula>0.83</formula>
    </cfRule>
    <cfRule type="cellIs" dxfId="1095" priority="60" operator="lessThan">
      <formula>0.83</formula>
    </cfRule>
  </conditionalFormatting>
  <conditionalFormatting sqref="C11">
    <cfRule type="cellIs" dxfId="1094" priority="12" operator="greaterThan">
      <formula>0.98</formula>
    </cfRule>
  </conditionalFormatting>
  <conditionalFormatting sqref="C5:D7">
    <cfRule type="cellIs" dxfId="1093" priority="7" operator="lessThan">
      <formula>0.98</formula>
    </cfRule>
    <cfRule type="cellIs" dxfId="1092" priority="8" operator="greaterThan">
      <formula>0.98</formula>
    </cfRule>
  </conditionalFormatting>
  <conditionalFormatting sqref="C11:D11">
    <cfRule type="cellIs" dxfId="1091" priority="11" operator="lessThan">
      <formula>0.98</formula>
    </cfRule>
  </conditionalFormatting>
  <conditionalFormatting sqref="D10">
    <cfRule type="cellIs" dxfId="1090" priority="1" operator="lessThan">
      <formula>0.98</formula>
    </cfRule>
  </conditionalFormatting>
  <conditionalFormatting sqref="D10:D11">
    <cfRule type="cellIs" dxfId="1089" priority="2" operator="greaterThan">
      <formula>0.98</formula>
    </cfRule>
  </conditionalFormatting>
  <conditionalFormatting sqref="E5:E6 E9:E11">
    <cfRule type="cellIs" dxfId="1088" priority="158" operator="lessThan">
      <formula>0.83</formula>
    </cfRule>
    <cfRule type="cellIs" dxfId="1087" priority="159" operator="greaterThan">
      <formula>0.83</formula>
    </cfRule>
  </conditionalFormatting>
  <conditionalFormatting sqref="F6">
    <cfRule type="cellIs" dxfId="1086" priority="5" operator="lessThan">
      <formula>0.98</formula>
    </cfRule>
    <cfRule type="cellIs" dxfId="1085" priority="6" operator="greaterThan">
      <formula>0.98</formula>
    </cfRule>
  </conditionalFormatting>
  <conditionalFormatting sqref="F9">
    <cfRule type="cellIs" dxfId="1084" priority="25" operator="lessThan">
      <formula>0.98</formula>
    </cfRule>
    <cfRule type="cellIs" dxfId="1083" priority="26" operator="greaterThan">
      <formula>0.98</formula>
    </cfRule>
  </conditionalFormatting>
  <conditionalFormatting sqref="F11">
    <cfRule type="cellIs" dxfId="1082" priority="3" operator="lessThan">
      <formula>0.98</formula>
    </cfRule>
    <cfRule type="cellIs" dxfId="1081" priority="4" operator="greaterThan">
      <formula>0.98</formula>
    </cfRule>
  </conditionalFormatting>
  <conditionalFormatting sqref="F5:G5">
    <cfRule type="cellIs" dxfId="1080" priority="81" operator="lessThan">
      <formula>0.98</formula>
    </cfRule>
    <cfRule type="cellIs" dxfId="1079" priority="82" operator="greaterThan">
      <formula>0.98</formula>
    </cfRule>
  </conditionalFormatting>
  <conditionalFormatting sqref="G9:G11">
    <cfRule type="cellIs" dxfId="1078" priority="24" operator="greaterThan">
      <formula>0.98</formula>
    </cfRule>
    <cfRule type="cellIs" dxfId="1077" priority="23" operator="lessThan">
      <formula>0.98</formula>
    </cfRule>
  </conditionalFormatting>
  <conditionalFormatting sqref="I5:I7">
    <cfRule type="cellIs" dxfId="1076" priority="13" operator="lessThan">
      <formula>0.98</formula>
    </cfRule>
    <cfRule type="cellIs" dxfId="1075" priority="14" operator="greaterThan">
      <formula>0.98</formula>
    </cfRule>
  </conditionalFormatting>
  <conditionalFormatting sqref="I11">
    <cfRule type="cellIs" dxfId="1074" priority="40" operator="lessThan">
      <formula>0.98</formula>
    </cfRule>
    <cfRule type="cellIs" dxfId="1073" priority="41" operator="greaterThan">
      <formula>0.98</formula>
    </cfRule>
  </conditionalFormatting>
  <conditionalFormatting sqref="J5:J11">
    <cfRule type="cellIs" dxfId="1072" priority="118" operator="greaterThan">
      <formula>0.99</formula>
    </cfRule>
    <cfRule type="cellIs" dxfId="1071" priority="119" operator="lessThan">
      <formula>0.99</formula>
    </cfRule>
  </conditionalFormatting>
  <conditionalFormatting sqref="K5:K11">
    <cfRule type="cellIs" dxfId="1070" priority="116" operator="greaterThan">
      <formula>0.93</formula>
    </cfRule>
    <cfRule type="cellIs" dxfId="1069" priority="117" operator="lessThan">
      <formula>0.93</formula>
    </cfRule>
  </conditionalFormatting>
  <conditionalFormatting sqref="L5:L11">
    <cfRule type="cellIs" dxfId="1068" priority="135" operator="lessThan">
      <formula>2.7</formula>
    </cfRule>
    <cfRule type="cellIs" dxfId="1067" priority="137" operator="greaterThan">
      <formula>2.7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5ECD-8D2F-459D-92B0-2BA96871ED80}">
  <dimension ref="A1:W30"/>
  <sheetViews>
    <sheetView tabSelected="1" topLeftCell="A2" zoomScale="149" zoomScaleNormal="140" workbookViewId="0">
      <pane xSplit="1" topLeftCell="I1" activePane="topRight" state="frozen"/>
      <selection pane="topRight" activeCell="J10" sqref="J10"/>
    </sheetView>
  </sheetViews>
  <sheetFormatPr defaultColWidth="8.85546875" defaultRowHeight="12.75" x14ac:dyDescent="0.2"/>
  <cols>
    <col min="1" max="1" width="22.85546875" style="11" bestFit="1" customWidth="1"/>
    <col min="2" max="2" width="12.42578125" style="11" customWidth="1"/>
    <col min="3" max="3" width="12.42578125" style="11" hidden="1" customWidth="1"/>
    <col min="4" max="4" width="10.7109375" style="11" bestFit="1" customWidth="1"/>
    <col min="5" max="6" width="12.42578125" style="11" customWidth="1"/>
    <col min="7" max="7" width="12.42578125" style="11" hidden="1" customWidth="1"/>
    <col min="8" max="15" width="12.42578125" style="11" customWidth="1"/>
    <col min="16" max="16384" width="8.85546875" style="11"/>
  </cols>
  <sheetData>
    <row r="1" spans="1:23" s="268" customFormat="1" ht="37.15" customHeight="1" thickBot="1" x14ac:dyDescent="0.3">
      <c r="A1" s="267" t="s">
        <v>279</v>
      </c>
      <c r="B1" s="348" t="s">
        <v>89</v>
      </c>
      <c r="C1" s="348"/>
      <c r="D1" s="348"/>
      <c r="E1" s="348"/>
      <c r="F1" s="348"/>
      <c r="G1" s="348"/>
      <c r="H1" s="348"/>
      <c r="I1" s="348"/>
      <c r="J1" s="348"/>
      <c r="K1" s="348" t="s">
        <v>294</v>
      </c>
      <c r="L1" s="375"/>
      <c r="M1" s="375"/>
      <c r="N1" s="375"/>
      <c r="O1" s="375"/>
      <c r="P1" s="343"/>
      <c r="Q1" s="343"/>
      <c r="R1" s="343"/>
      <c r="S1" s="343"/>
      <c r="T1" s="343"/>
      <c r="U1" s="343"/>
      <c r="V1" s="343"/>
      <c r="W1" s="343"/>
    </row>
    <row r="2" spans="1:23" s="17" customFormat="1" ht="57" customHeight="1" thickBot="1" x14ac:dyDescent="0.3">
      <c r="A2" s="267" t="s">
        <v>312</v>
      </c>
      <c r="B2" s="269" t="s">
        <v>265</v>
      </c>
      <c r="C2" s="269" t="s">
        <v>296</v>
      </c>
      <c r="D2" s="346" t="s">
        <v>308</v>
      </c>
      <c r="E2" s="346"/>
      <c r="F2" s="269" t="s">
        <v>266</v>
      </c>
      <c r="G2" s="269" t="s">
        <v>293</v>
      </c>
      <c r="H2" s="269" t="s">
        <v>284</v>
      </c>
      <c r="I2" s="269" t="s">
        <v>285</v>
      </c>
      <c r="J2" s="269" t="s">
        <v>286</v>
      </c>
      <c r="K2" s="269" t="s">
        <v>287</v>
      </c>
      <c r="L2" s="269" t="s">
        <v>288</v>
      </c>
      <c r="M2" s="269" t="s">
        <v>289</v>
      </c>
      <c r="N2" s="269" t="s">
        <v>290</v>
      </c>
      <c r="O2" s="269" t="s">
        <v>291</v>
      </c>
      <c r="P2" s="344"/>
      <c r="Q2" s="344"/>
      <c r="R2" s="344"/>
      <c r="S2" s="344"/>
      <c r="T2" s="344"/>
      <c r="U2" s="344"/>
      <c r="V2" s="344"/>
      <c r="W2" s="344"/>
    </row>
    <row r="3" spans="1:23" customFormat="1" ht="14.45" customHeight="1" thickBot="1" x14ac:dyDescent="0.3">
      <c r="A3" s="345" t="s">
        <v>39</v>
      </c>
      <c r="B3" s="347">
        <v>0.75</v>
      </c>
      <c r="C3" s="347">
        <v>0.7</v>
      </c>
      <c r="D3" s="350" t="s">
        <v>306</v>
      </c>
      <c r="E3" s="350">
        <v>7.9000000000000001E-2</v>
      </c>
      <c r="F3" s="347">
        <v>0.88</v>
      </c>
      <c r="G3" s="347"/>
      <c r="H3" s="347">
        <v>0.87</v>
      </c>
      <c r="I3" s="347">
        <v>0.95</v>
      </c>
      <c r="J3" s="347">
        <v>0.95</v>
      </c>
      <c r="K3" s="347">
        <v>0.85</v>
      </c>
      <c r="L3" s="347">
        <v>0.85</v>
      </c>
      <c r="M3" s="347">
        <v>0.85</v>
      </c>
      <c r="N3" s="347">
        <v>0.85</v>
      </c>
      <c r="O3" s="347">
        <v>0.85</v>
      </c>
    </row>
    <row r="4" spans="1:23" customFormat="1" ht="15" customHeight="1" thickBot="1" x14ac:dyDescent="0.3">
      <c r="A4" s="345"/>
      <c r="B4" s="347"/>
      <c r="C4" s="347"/>
      <c r="D4" s="350"/>
      <c r="E4" s="350"/>
      <c r="F4" s="347"/>
      <c r="G4" s="347"/>
      <c r="H4" s="347"/>
      <c r="I4" s="347"/>
      <c r="J4" s="347"/>
      <c r="K4" s="347"/>
      <c r="L4" s="347"/>
      <c r="M4" s="347"/>
      <c r="N4" s="347"/>
      <c r="O4" s="347"/>
    </row>
    <row r="5" spans="1:23" s="266" customFormat="1" ht="19.899999999999999" customHeight="1" thickBot="1" x14ac:dyDescent="0.3">
      <c r="A5" s="302" t="s">
        <v>42</v>
      </c>
      <c r="B5" s="303">
        <v>0.79</v>
      </c>
      <c r="C5" s="303"/>
      <c r="D5" s="316">
        <v>0.06</v>
      </c>
      <c r="E5" s="304">
        <v>1.118831209723126E-2</v>
      </c>
      <c r="F5" s="310">
        <v>0.87804878048780488</v>
      </c>
      <c r="G5" s="303"/>
      <c r="H5" s="303">
        <v>0.57099999999999995</v>
      </c>
      <c r="I5" s="306" t="s">
        <v>66</v>
      </c>
      <c r="J5" s="306" t="s">
        <v>66</v>
      </c>
      <c r="K5" s="303">
        <v>0.83</v>
      </c>
      <c r="L5" s="303">
        <v>1</v>
      </c>
      <c r="M5" s="303">
        <v>1</v>
      </c>
      <c r="N5" s="303">
        <v>1</v>
      </c>
      <c r="O5" s="303">
        <v>1</v>
      </c>
    </row>
    <row r="6" spans="1:23" s="266" customFormat="1" ht="19.899999999999999" customHeight="1" thickBot="1" x14ac:dyDescent="0.3">
      <c r="A6" s="308" t="s">
        <v>282</v>
      </c>
      <c r="B6" s="303">
        <v>0.76</v>
      </c>
      <c r="C6" s="303"/>
      <c r="D6" s="316">
        <v>7.7648428567911598E-2</v>
      </c>
      <c r="E6" s="309">
        <v>1.3989358522149819E-2</v>
      </c>
      <c r="F6" s="310">
        <v>0.83333333333333337</v>
      </c>
      <c r="G6" s="303"/>
      <c r="H6" s="303">
        <v>0.5</v>
      </c>
      <c r="I6" s="306" t="s">
        <v>66</v>
      </c>
      <c r="J6" s="306" t="s">
        <v>66</v>
      </c>
      <c r="K6" s="303">
        <v>1</v>
      </c>
      <c r="L6" s="330" t="s">
        <v>66</v>
      </c>
      <c r="M6" s="303">
        <v>1</v>
      </c>
      <c r="N6" s="303">
        <v>1</v>
      </c>
      <c r="O6" s="303">
        <v>1</v>
      </c>
    </row>
    <row r="7" spans="1:23" s="266" customFormat="1" ht="19.899999999999999" customHeight="1" thickBot="1" x14ac:dyDescent="0.3">
      <c r="A7" s="308" t="s">
        <v>270</v>
      </c>
      <c r="B7" s="311">
        <v>0</v>
      </c>
      <c r="C7" s="307"/>
      <c r="D7" s="316">
        <v>2.7737593852862973E-2</v>
      </c>
      <c r="E7" s="309">
        <v>1.1806107390169147E-2</v>
      </c>
      <c r="F7" s="305">
        <v>1</v>
      </c>
      <c r="G7" s="303"/>
      <c r="H7" s="306" t="s">
        <v>66</v>
      </c>
      <c r="I7" s="306" t="s">
        <v>66</v>
      </c>
      <c r="J7" s="306" t="s">
        <v>66</v>
      </c>
      <c r="K7" s="330" t="s">
        <v>66</v>
      </c>
      <c r="L7" s="303">
        <v>1</v>
      </c>
      <c r="M7" s="330" t="s">
        <v>66</v>
      </c>
      <c r="N7" s="303">
        <v>1</v>
      </c>
      <c r="O7" s="303">
        <v>1</v>
      </c>
    </row>
    <row r="8" spans="1:23" s="266" customFormat="1" ht="19.899999999999999" customHeight="1" thickBot="1" x14ac:dyDescent="0.3">
      <c r="A8" s="312" t="s">
        <v>271</v>
      </c>
      <c r="B8" s="313">
        <v>1</v>
      </c>
      <c r="C8" s="303"/>
      <c r="D8" s="316">
        <v>4.2671699103818295E-2</v>
      </c>
      <c r="E8" s="323">
        <v>4.6129962297626961E-3</v>
      </c>
      <c r="F8" s="305">
        <v>1</v>
      </c>
      <c r="G8" s="303"/>
      <c r="H8" s="306" t="s">
        <v>66</v>
      </c>
      <c r="I8" s="306" t="s">
        <v>66</v>
      </c>
      <c r="J8" s="306" t="s">
        <v>66</v>
      </c>
      <c r="K8" s="330" t="s">
        <v>66</v>
      </c>
      <c r="L8" s="330" t="s">
        <v>66</v>
      </c>
      <c r="M8" s="330" t="s">
        <v>66</v>
      </c>
      <c r="N8" s="330" t="s">
        <v>66</v>
      </c>
      <c r="O8" s="330" t="s">
        <v>66</v>
      </c>
    </row>
    <row r="9" spans="1:23" s="266" customFormat="1" ht="34.5" customHeight="1" thickBot="1" x14ac:dyDescent="0.3">
      <c r="A9" s="315" t="s">
        <v>283</v>
      </c>
      <c r="B9" s="303">
        <v>0.86</v>
      </c>
      <c r="C9" s="303"/>
      <c r="D9" s="316">
        <v>5.5332488113790247E-2</v>
      </c>
      <c r="E9" s="309">
        <v>1.0704921229982447E-2</v>
      </c>
      <c r="F9" s="305">
        <v>0.89473684210526316</v>
      </c>
      <c r="G9" s="303"/>
      <c r="H9" s="303">
        <v>0.66700000000000004</v>
      </c>
      <c r="I9" s="306" t="s">
        <v>66</v>
      </c>
      <c r="J9" s="306" t="s">
        <v>66</v>
      </c>
      <c r="K9" s="303">
        <v>0.82</v>
      </c>
      <c r="L9" s="330" t="s">
        <v>66</v>
      </c>
      <c r="M9" s="303">
        <v>1</v>
      </c>
      <c r="N9" s="303">
        <v>1</v>
      </c>
      <c r="O9" s="330" t="s">
        <v>66</v>
      </c>
    </row>
    <row r="10" spans="1:23" ht="15" customHeight="1" x14ac:dyDescent="0.2"/>
    <row r="30" ht="14.25" customHeight="1" x14ac:dyDescent="0.2"/>
  </sheetData>
  <mergeCells count="26">
    <mergeCell ref="C3:C4"/>
    <mergeCell ref="G3:G4"/>
    <mergeCell ref="U1:U2"/>
    <mergeCell ref="V1:V2"/>
    <mergeCell ref="W1:W2"/>
    <mergeCell ref="K1:O1"/>
    <mergeCell ref="P1:P2"/>
    <mergeCell ref="Q1:Q2"/>
    <mergeCell ref="S1:S2"/>
    <mergeCell ref="T1:T2"/>
    <mergeCell ref="A3:A4"/>
    <mergeCell ref="R1:R2"/>
    <mergeCell ref="D2:E2"/>
    <mergeCell ref="B1:J1"/>
    <mergeCell ref="O3:O4"/>
    <mergeCell ref="D3:D4"/>
    <mergeCell ref="E3:E4"/>
    <mergeCell ref="F3:F4"/>
    <mergeCell ref="H3:H4"/>
    <mergeCell ref="I3:I4"/>
    <mergeCell ref="J3:J4"/>
    <mergeCell ref="K3:K4"/>
    <mergeCell ref="L3:L4"/>
    <mergeCell ref="M3:M4"/>
    <mergeCell ref="N3:N4"/>
    <mergeCell ref="B3:B4"/>
  </mergeCells>
  <conditionalFormatting sqref="B5:C9">
    <cfRule type="cellIs" dxfId="1066" priority="130" operator="lessThan">
      <formula>0.75</formula>
    </cfRule>
    <cfRule type="cellIs" dxfId="1065" priority="131" operator="greaterThan">
      <formula>0.75</formula>
    </cfRule>
  </conditionalFormatting>
  <conditionalFormatting sqref="F5:F9">
    <cfRule type="containsBlanks" dxfId="1064" priority="1">
      <formula>LEN(TRIM(F5))=0</formula>
    </cfRule>
    <cfRule type="cellIs" dxfId="1063" priority="2" operator="lessThan">
      <formula>0.88</formula>
    </cfRule>
    <cfRule type="cellIs" dxfId="1062" priority="3" operator="greaterThanOrEqual">
      <formula>0.88</formula>
    </cfRule>
  </conditionalFormatting>
  <conditionalFormatting sqref="H5:H6 H9">
    <cfRule type="cellIs" dxfId="1061" priority="104" operator="lessThan">
      <formula>0.87</formula>
    </cfRule>
    <cfRule type="cellIs" dxfId="1060" priority="105" operator="greaterThan">
      <formula>0.87</formula>
    </cfRule>
  </conditionalFormatting>
  <conditionalFormatting sqref="K9">
    <cfRule type="cellIs" dxfId="1059" priority="20" operator="lessThan">
      <formula>0.85</formula>
    </cfRule>
    <cfRule type="cellIs" dxfId="1058" priority="21" operator="greaterThan">
      <formula>0.85</formula>
    </cfRule>
  </conditionalFormatting>
  <conditionalFormatting sqref="K5:L5 K6 L7 M9:N9">
    <cfRule type="cellIs" dxfId="1057" priority="8" operator="lessThan">
      <formula>0.85</formula>
    </cfRule>
    <cfRule type="cellIs" dxfId="1056" priority="9" operator="greaterThan">
      <formula>0.85</formula>
    </cfRule>
  </conditionalFormatting>
  <conditionalFormatting sqref="M5:O6">
    <cfRule type="cellIs" dxfId="1055" priority="4" operator="lessThan">
      <formula>0.85</formula>
    </cfRule>
    <cfRule type="cellIs" dxfId="1054" priority="5" operator="greaterThan">
      <formula>0.85</formula>
    </cfRule>
  </conditionalFormatting>
  <conditionalFormatting sqref="N7:O7">
    <cfRule type="cellIs" dxfId="1053" priority="6" operator="lessThan">
      <formula>0.85</formula>
    </cfRule>
    <cfRule type="cellIs" dxfId="1052" priority="7" operator="greaterThan">
      <formula>0.85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3"/>
  <sheetViews>
    <sheetView zoomScale="82" zoomScaleNormal="82" workbookViewId="0">
      <pane xSplit="6" ySplit="3" topLeftCell="J5" activePane="bottomRight" state="frozen"/>
      <selection pane="topRight" activeCell="I31" sqref="I31"/>
      <selection pane="bottomLeft" activeCell="I31" sqref="I31"/>
      <selection pane="bottomRight" activeCell="C26" sqref="C26"/>
    </sheetView>
  </sheetViews>
  <sheetFormatPr defaultColWidth="9.140625" defaultRowHeight="12.75" x14ac:dyDescent="0.2"/>
  <cols>
    <col min="1" max="1" width="11" style="11" bestFit="1" customWidth="1"/>
    <col min="2" max="2" width="10.42578125" style="11" bestFit="1" customWidth="1"/>
    <col min="3" max="3" width="19.42578125" style="160" customWidth="1"/>
    <col min="4" max="4" width="64.28515625" style="11" bestFit="1" customWidth="1"/>
    <col min="5" max="5" width="3.28515625" style="11" bestFit="1" customWidth="1"/>
    <col min="6" max="6" width="7" style="11" bestFit="1" customWidth="1"/>
    <col min="7" max="7" width="11.42578125" style="21" hidden="1" customWidth="1"/>
    <col min="8" max="8" width="9.5703125" style="11" hidden="1" customWidth="1"/>
    <col min="9" max="9" width="9.140625" style="11" hidden="1" customWidth="1"/>
    <col min="10" max="10" width="9.140625" style="11" customWidth="1"/>
    <col min="11" max="17" width="9.140625" style="11" hidden="1" customWidth="1"/>
    <col min="18" max="26" width="9.140625" style="11" customWidth="1"/>
    <col min="27" max="32" width="9.140625" style="11" hidden="1" customWidth="1"/>
    <col min="33" max="34" width="17.7109375" style="11" customWidth="1"/>
    <col min="35" max="16384" width="9.140625" style="11"/>
  </cols>
  <sheetData>
    <row r="1" spans="1:34" x14ac:dyDescent="0.2">
      <c r="A1" s="11" t="s">
        <v>35</v>
      </c>
    </row>
    <row r="2" spans="1:34" x14ac:dyDescent="0.2">
      <c r="A2" s="334" t="s">
        <v>0</v>
      </c>
      <c r="B2" s="334" t="s">
        <v>36</v>
      </c>
      <c r="C2" s="334" t="s">
        <v>37</v>
      </c>
      <c r="D2" s="338" t="s">
        <v>90</v>
      </c>
      <c r="E2" s="338" t="s">
        <v>24</v>
      </c>
      <c r="F2" s="338" t="s">
        <v>39</v>
      </c>
      <c r="G2" s="339" t="s">
        <v>40</v>
      </c>
      <c r="H2" s="338" t="s">
        <v>41</v>
      </c>
      <c r="I2" s="338"/>
      <c r="J2" s="338"/>
      <c r="K2" s="338"/>
      <c r="L2" s="340" t="s">
        <v>42</v>
      </c>
      <c r="M2" s="340"/>
      <c r="N2" s="340"/>
      <c r="O2" s="340"/>
      <c r="P2" s="340"/>
      <c r="Q2" s="340"/>
      <c r="R2" s="341" t="s">
        <v>43</v>
      </c>
      <c r="S2" s="341"/>
      <c r="T2" s="341"/>
      <c r="U2" s="341"/>
      <c r="V2" s="341"/>
      <c r="W2" s="341"/>
      <c r="X2" s="341"/>
      <c r="Y2" s="341"/>
      <c r="Z2" s="341"/>
      <c r="AA2" s="342" t="s">
        <v>44</v>
      </c>
      <c r="AB2" s="342"/>
      <c r="AC2" s="342"/>
      <c r="AD2" s="342"/>
      <c r="AE2" s="342"/>
      <c r="AF2" s="342"/>
      <c r="AG2" s="64" t="s">
        <v>28</v>
      </c>
      <c r="AH2" s="64" t="s">
        <v>29</v>
      </c>
    </row>
    <row r="3" spans="1:34" ht="15" customHeight="1" x14ac:dyDescent="0.2">
      <c r="A3" s="334"/>
      <c r="B3" s="334"/>
      <c r="C3" s="334"/>
      <c r="D3" s="338"/>
      <c r="E3" s="338"/>
      <c r="F3" s="338"/>
      <c r="G3" s="339"/>
      <c r="H3" s="19" t="s">
        <v>45</v>
      </c>
      <c r="I3" s="20" t="s">
        <v>26</v>
      </c>
      <c r="J3" s="20" t="s">
        <v>46</v>
      </c>
      <c r="K3" s="20" t="s">
        <v>91</v>
      </c>
      <c r="L3" s="193" t="s">
        <v>27</v>
      </c>
      <c r="M3" s="193" t="s">
        <v>30</v>
      </c>
      <c r="N3" s="193" t="s">
        <v>31</v>
      </c>
      <c r="O3" s="193" t="s">
        <v>32</v>
      </c>
      <c r="P3" s="193" t="s">
        <v>33</v>
      </c>
      <c r="Q3" s="193" t="s">
        <v>34</v>
      </c>
      <c r="R3" s="194" t="s">
        <v>47</v>
      </c>
      <c r="S3" s="194" t="s">
        <v>48</v>
      </c>
      <c r="T3" s="194" t="s">
        <v>49</v>
      </c>
      <c r="U3" s="194" t="s">
        <v>50</v>
      </c>
      <c r="V3" s="194" t="s">
        <v>51</v>
      </c>
      <c r="W3" s="194" t="s">
        <v>52</v>
      </c>
      <c r="X3" s="194" t="s">
        <v>53</v>
      </c>
      <c r="Y3" s="194" t="s">
        <v>54</v>
      </c>
      <c r="Z3" s="194" t="s">
        <v>55</v>
      </c>
      <c r="AA3" s="195" t="s">
        <v>56</v>
      </c>
      <c r="AB3" s="195" t="s">
        <v>57</v>
      </c>
      <c r="AC3" s="195" t="s">
        <v>58</v>
      </c>
      <c r="AD3" s="195" t="s">
        <v>59</v>
      </c>
      <c r="AE3" s="195" t="s">
        <v>60</v>
      </c>
      <c r="AF3" s="195" t="s">
        <v>61</v>
      </c>
      <c r="AG3" s="336" t="s">
        <v>62</v>
      </c>
      <c r="AH3" s="337"/>
    </row>
    <row r="4" spans="1:34" s="163" customFormat="1" hidden="1" x14ac:dyDescent="0.25">
      <c r="A4" s="179" t="s">
        <v>2</v>
      </c>
      <c r="B4" s="334" t="s">
        <v>63</v>
      </c>
      <c r="C4" s="155" t="s">
        <v>64</v>
      </c>
      <c r="D4" s="156" t="s">
        <v>65</v>
      </c>
      <c r="E4" s="20">
        <v>1</v>
      </c>
      <c r="F4" s="157">
        <v>0.03</v>
      </c>
      <c r="G4" s="172" t="s">
        <v>66</v>
      </c>
      <c r="H4" s="172" t="s">
        <v>66</v>
      </c>
      <c r="I4" s="172" t="s">
        <v>66</v>
      </c>
      <c r="J4" s="172" t="s">
        <v>66</v>
      </c>
      <c r="K4" s="172" t="s">
        <v>66</v>
      </c>
      <c r="L4" s="172" t="s">
        <v>66</v>
      </c>
      <c r="M4" s="172" t="s">
        <v>66</v>
      </c>
      <c r="N4" s="172" t="s">
        <v>66</v>
      </c>
      <c r="O4" s="172" t="s">
        <v>66</v>
      </c>
      <c r="P4" s="172" t="s">
        <v>66</v>
      </c>
      <c r="Q4" s="172" t="s">
        <v>66</v>
      </c>
      <c r="R4" s="172" t="s">
        <v>66</v>
      </c>
      <c r="S4" s="172" t="s">
        <v>66</v>
      </c>
      <c r="T4" s="172" t="s">
        <v>66</v>
      </c>
      <c r="U4" s="172" t="s">
        <v>66</v>
      </c>
      <c r="V4" s="172" t="s">
        <v>66</v>
      </c>
      <c r="W4" s="172" t="s">
        <v>66</v>
      </c>
      <c r="X4" s="172" t="s">
        <v>66</v>
      </c>
      <c r="Y4" s="172" t="s">
        <v>66</v>
      </c>
      <c r="Z4" s="172" t="s">
        <v>66</v>
      </c>
      <c r="AA4" s="172" t="s">
        <v>66</v>
      </c>
      <c r="AB4" s="172" t="s">
        <v>66</v>
      </c>
      <c r="AC4" s="172" t="s">
        <v>66</v>
      </c>
      <c r="AD4" s="172" t="s">
        <v>66</v>
      </c>
      <c r="AE4" s="172" t="s">
        <v>66</v>
      </c>
      <c r="AF4" s="172" t="s">
        <v>66</v>
      </c>
      <c r="AG4" s="165"/>
      <c r="AH4" s="161"/>
    </row>
    <row r="5" spans="1:34" x14ac:dyDescent="0.2">
      <c r="A5" s="167" t="s">
        <v>1</v>
      </c>
      <c r="B5" s="334"/>
      <c r="C5" s="335"/>
      <c r="D5" s="158" t="s">
        <v>5</v>
      </c>
      <c r="E5" s="20">
        <v>1</v>
      </c>
      <c r="F5" s="119">
        <v>0.9</v>
      </c>
      <c r="G5" s="52">
        <v>0.94489069649211999</v>
      </c>
      <c r="H5" s="52">
        <v>0.96741071428571423</v>
      </c>
      <c r="I5" s="52">
        <v>0.95066666666666666</v>
      </c>
      <c r="J5" s="52">
        <v>0.97729729729729731</v>
      </c>
      <c r="K5" s="52">
        <v>0.97345132743362828</v>
      </c>
      <c r="L5" s="52">
        <v>0.98484848484848486</v>
      </c>
      <c r="M5" s="52">
        <v>0.93150684931506844</v>
      </c>
      <c r="N5" s="52">
        <v>0.9854368932038835</v>
      </c>
      <c r="O5" s="52">
        <v>0.5</v>
      </c>
      <c r="P5" s="52">
        <v>0.94545454545454544</v>
      </c>
      <c r="Q5" s="52">
        <v>0.94736842105263153</v>
      </c>
      <c r="R5" s="52">
        <v>0.97333333333333338</v>
      </c>
      <c r="S5" s="52">
        <v>1</v>
      </c>
      <c r="T5" s="52">
        <v>0.99009900990099009</v>
      </c>
      <c r="U5" s="52">
        <v>0.98639455782312924</v>
      </c>
      <c r="V5" s="52">
        <v>0.81944444444444442</v>
      </c>
      <c r="W5" s="52">
        <v>0.9859154929577465</v>
      </c>
      <c r="X5" s="52">
        <v>1</v>
      </c>
      <c r="Y5" s="52">
        <v>0.98780487804878048</v>
      </c>
      <c r="Z5" s="52">
        <v>1</v>
      </c>
      <c r="AA5" s="52">
        <v>1</v>
      </c>
      <c r="AB5" s="52">
        <v>0.98461538461538467</v>
      </c>
      <c r="AC5" s="52">
        <v>1</v>
      </c>
      <c r="AD5" s="52">
        <v>0.90833333333333333</v>
      </c>
      <c r="AE5" s="52">
        <v>1</v>
      </c>
      <c r="AF5" s="52">
        <v>0.97872340425531912</v>
      </c>
      <c r="AG5" s="170"/>
      <c r="AH5" s="153"/>
    </row>
    <row r="6" spans="1:34" x14ac:dyDescent="0.2">
      <c r="A6" s="167" t="s">
        <v>1</v>
      </c>
      <c r="B6" s="334"/>
      <c r="C6" s="335"/>
      <c r="D6" s="169" t="s">
        <v>6</v>
      </c>
      <c r="E6" s="20">
        <v>2</v>
      </c>
      <c r="F6" s="119">
        <v>0.95</v>
      </c>
      <c r="G6" s="171">
        <v>0.97943661971830986</v>
      </c>
      <c r="H6" s="171">
        <v>0.9860114777618364</v>
      </c>
      <c r="I6" s="171">
        <v>0.98439241917502784</v>
      </c>
      <c r="J6" s="171">
        <v>0.99223468507333912</v>
      </c>
      <c r="K6" s="171">
        <v>0.97814207650273222</v>
      </c>
      <c r="L6" s="171">
        <v>0.97633136094674555</v>
      </c>
      <c r="M6" s="171">
        <v>1</v>
      </c>
      <c r="N6" s="171">
        <v>0.97356828193832601</v>
      </c>
      <c r="O6" s="171">
        <v>0.93939393939393945</v>
      </c>
      <c r="P6" s="171">
        <v>0.99270072992700731</v>
      </c>
      <c r="Q6" s="171">
        <v>0.99598393574297184</v>
      </c>
      <c r="R6" s="171">
        <v>1</v>
      </c>
      <c r="S6" s="171">
        <v>0.98809523809523814</v>
      </c>
      <c r="T6" s="171">
        <v>0.98630136986301364</v>
      </c>
      <c r="U6" s="171">
        <v>0.98421052631578942</v>
      </c>
      <c r="V6" s="171">
        <v>0.99065420560747663</v>
      </c>
      <c r="W6" s="171">
        <v>1</v>
      </c>
      <c r="X6" s="171">
        <v>1</v>
      </c>
      <c r="Y6" s="171">
        <v>1</v>
      </c>
      <c r="Z6" s="171">
        <v>0.99099099099099097</v>
      </c>
      <c r="AA6" s="171">
        <v>0.98275862068965514</v>
      </c>
      <c r="AB6" s="171">
        <v>0.96590909090909094</v>
      </c>
      <c r="AC6" s="171">
        <v>0.9882352941176471</v>
      </c>
      <c r="AD6" s="171">
        <v>0.97122302158273377</v>
      </c>
      <c r="AE6" s="171">
        <v>0.98620689655172411</v>
      </c>
      <c r="AF6" s="171">
        <v>0.98449612403100772</v>
      </c>
      <c r="AG6" s="162"/>
      <c r="AH6" s="153"/>
    </row>
    <row r="7" spans="1:34" x14ac:dyDescent="0.2">
      <c r="A7" s="167" t="s">
        <v>1</v>
      </c>
      <c r="B7" s="334"/>
      <c r="C7" s="335"/>
      <c r="D7" s="158" t="s">
        <v>8</v>
      </c>
      <c r="E7" s="20">
        <v>3</v>
      </c>
      <c r="F7" s="119">
        <v>0.04</v>
      </c>
      <c r="G7" s="187">
        <v>2.2839801948570517E-2</v>
      </c>
      <c r="H7" s="187">
        <v>6.8526676456191872E-3</v>
      </c>
      <c r="I7" s="187">
        <v>6.6815144766146995E-3</v>
      </c>
      <c r="J7" s="187">
        <v>7.5362318840579709E-3</v>
      </c>
      <c r="K7" s="187">
        <v>5.9171597633136093E-3</v>
      </c>
      <c r="L7" s="187">
        <v>1.4598540145985401E-2</v>
      </c>
      <c r="M7" s="187">
        <v>9.2592592592592587E-3</v>
      </c>
      <c r="N7" s="187">
        <v>6.1162079510703364E-3</v>
      </c>
      <c r="O7" s="187">
        <v>2.4390243902439025E-2</v>
      </c>
      <c r="P7" s="187" t="s">
        <v>67</v>
      </c>
      <c r="Q7" s="187">
        <v>2.4154589371980675E-3</v>
      </c>
      <c r="R7" s="187" t="s">
        <v>67</v>
      </c>
      <c r="S7" s="187">
        <v>1.6877637130801686E-2</v>
      </c>
      <c r="T7" s="187">
        <v>8.4388185654008432E-3</v>
      </c>
      <c r="U7" s="187" t="s">
        <v>67</v>
      </c>
      <c r="V7" s="187">
        <v>2.6905829596412557E-2</v>
      </c>
      <c r="W7" s="187" t="s">
        <v>67</v>
      </c>
      <c r="X7" s="187" t="s">
        <v>67</v>
      </c>
      <c r="Y7" s="187">
        <v>8.2644628099173556E-3</v>
      </c>
      <c r="Z7" s="187" t="s">
        <v>67</v>
      </c>
      <c r="AA7" s="187" t="s">
        <v>67</v>
      </c>
      <c r="AB7" s="187">
        <v>1.9762845849802372E-2</v>
      </c>
      <c r="AC7" s="187" t="s">
        <v>67</v>
      </c>
      <c r="AD7" s="187">
        <v>5.5865921787709499E-3</v>
      </c>
      <c r="AE7" s="187" t="s">
        <v>67</v>
      </c>
      <c r="AF7" s="187" t="s">
        <v>67</v>
      </c>
      <c r="AG7" s="162"/>
      <c r="AH7" s="153"/>
    </row>
    <row r="8" spans="1:34" x14ac:dyDescent="0.2">
      <c r="A8" s="167" t="s">
        <v>1</v>
      </c>
      <c r="B8" s="334"/>
      <c r="C8" s="335"/>
      <c r="D8" s="158" t="s">
        <v>68</v>
      </c>
      <c r="E8" s="20">
        <v>4</v>
      </c>
      <c r="F8" s="119">
        <v>0.11</v>
      </c>
      <c r="G8" s="171">
        <v>0.20103284885268594</v>
      </c>
      <c r="H8" s="171">
        <v>8.4189916789035729E-2</v>
      </c>
      <c r="I8" s="171">
        <v>7.7951002227171495E-2</v>
      </c>
      <c r="J8" s="171">
        <v>9.7391304347826085E-2</v>
      </c>
      <c r="K8" s="171">
        <v>7.0019723865877709E-2</v>
      </c>
      <c r="L8" s="171">
        <v>9.8540145985401464E-2</v>
      </c>
      <c r="M8" s="171">
        <v>1.8518518518518517E-2</v>
      </c>
      <c r="N8" s="171">
        <v>0.11620795107033639</v>
      </c>
      <c r="O8" s="171">
        <v>7.3170731707317069E-2</v>
      </c>
      <c r="P8" s="171">
        <v>7.650273224043716E-2</v>
      </c>
      <c r="Q8" s="171">
        <v>5.0724637681159424E-2</v>
      </c>
      <c r="R8" s="171">
        <v>4.2105263157894736E-2</v>
      </c>
      <c r="S8" s="171">
        <v>6.7510548523206745E-2</v>
      </c>
      <c r="T8" s="171">
        <v>8.0168776371308023E-2</v>
      </c>
      <c r="U8" s="171">
        <v>0.13584905660377358</v>
      </c>
      <c r="V8" s="171">
        <v>0.16143497757847533</v>
      </c>
      <c r="W8" s="171">
        <v>5.3497942386831275E-2</v>
      </c>
      <c r="X8" s="171">
        <v>0.12587412587412589</v>
      </c>
      <c r="Y8" s="171">
        <v>9.9173553719008267E-2</v>
      </c>
      <c r="Z8" s="171">
        <v>8.6956521739130432E-2</v>
      </c>
      <c r="AA8" s="171">
        <v>9.5238095238095233E-2</v>
      </c>
      <c r="AB8" s="171">
        <v>0.11462450592885376</v>
      </c>
      <c r="AC8" s="171">
        <v>1.5151515151515152E-2</v>
      </c>
      <c r="AD8" s="171">
        <v>8.3798882681564241E-2</v>
      </c>
      <c r="AE8" s="171">
        <v>3.2258064516129031E-2</v>
      </c>
      <c r="AF8" s="171">
        <v>6.1111111111111109E-2</v>
      </c>
      <c r="AG8" s="171"/>
      <c r="AH8" s="153"/>
    </row>
    <row r="9" spans="1:34" x14ac:dyDescent="0.2">
      <c r="A9" s="167" t="s">
        <v>1</v>
      </c>
      <c r="B9" s="334"/>
      <c r="C9" s="335"/>
      <c r="D9" s="158" t="s">
        <v>9</v>
      </c>
      <c r="E9" s="20">
        <v>5</v>
      </c>
      <c r="F9" s="119">
        <v>0.9</v>
      </c>
      <c r="G9" s="52">
        <v>0.8675520459440057</v>
      </c>
      <c r="H9" s="52">
        <v>0.92088382038488947</v>
      </c>
      <c r="I9" s="52">
        <v>0.90680628272251307</v>
      </c>
      <c r="J9" s="52">
        <v>0.92933810375670844</v>
      </c>
      <c r="K9" s="52">
        <v>0.92633015006821284</v>
      </c>
      <c r="L9" s="52">
        <v>0.88043478260869568</v>
      </c>
      <c r="M9" s="52">
        <v>0.91549295774647887</v>
      </c>
      <c r="N9" s="52">
        <v>0.92567567567567566</v>
      </c>
      <c r="O9" s="52">
        <v>0.76</v>
      </c>
      <c r="P9" s="52">
        <v>0.9652173913043478</v>
      </c>
      <c r="Q9" s="52">
        <v>0.89015151515151514</v>
      </c>
      <c r="R9" s="52">
        <v>0.92207792207792205</v>
      </c>
      <c r="S9" s="52">
        <v>0.92672413793103448</v>
      </c>
      <c r="T9" s="52">
        <v>0.96581196581196582</v>
      </c>
      <c r="U9" s="52">
        <v>0.89583333333333337</v>
      </c>
      <c r="V9" s="52">
        <v>0.93023255813953487</v>
      </c>
      <c r="W9" s="52">
        <v>0.95495495495495497</v>
      </c>
      <c r="X9" s="52">
        <v>0.92</v>
      </c>
      <c r="Y9" s="52">
        <v>0.92045454545454541</v>
      </c>
      <c r="Z9" s="52">
        <v>0.94782608695652171</v>
      </c>
      <c r="AA9" s="52">
        <v>0.90740740740740744</v>
      </c>
      <c r="AB9" s="52">
        <v>0.91712707182320441</v>
      </c>
      <c r="AC9" s="52">
        <v>0.99047619047619051</v>
      </c>
      <c r="AD9" s="52">
        <v>0.92481203007518797</v>
      </c>
      <c r="AE9" s="52">
        <v>0.94074074074074077</v>
      </c>
      <c r="AF9" s="52">
        <v>0.88</v>
      </c>
      <c r="AG9" s="162"/>
      <c r="AH9" s="153"/>
    </row>
    <row r="10" spans="1:34" x14ac:dyDescent="0.2">
      <c r="A10" s="179" t="s">
        <v>2</v>
      </c>
      <c r="B10" s="334"/>
      <c r="C10" s="335"/>
      <c r="D10" s="158" t="s">
        <v>10</v>
      </c>
      <c r="E10" s="20">
        <v>6</v>
      </c>
      <c r="F10" s="119">
        <v>0.7</v>
      </c>
      <c r="G10" s="186" t="s">
        <v>66</v>
      </c>
      <c r="H10" s="186" t="s">
        <v>66</v>
      </c>
      <c r="I10" s="186" t="s">
        <v>66</v>
      </c>
      <c r="J10" s="186" t="s">
        <v>66</v>
      </c>
      <c r="K10" s="186" t="s">
        <v>66</v>
      </c>
      <c r="L10" s="186" t="s">
        <v>66</v>
      </c>
      <c r="M10" s="186" t="s">
        <v>66</v>
      </c>
      <c r="N10" s="186" t="s">
        <v>66</v>
      </c>
      <c r="O10" s="186" t="s">
        <v>66</v>
      </c>
      <c r="P10" s="186" t="s">
        <v>66</v>
      </c>
      <c r="Q10" s="186" t="s">
        <v>66</v>
      </c>
      <c r="R10" s="186" t="s">
        <v>66</v>
      </c>
      <c r="S10" s="186" t="s">
        <v>66</v>
      </c>
      <c r="T10" s="186" t="s">
        <v>66</v>
      </c>
      <c r="U10" s="186" t="s">
        <v>66</v>
      </c>
      <c r="V10" s="186" t="s">
        <v>66</v>
      </c>
      <c r="W10" s="186" t="s">
        <v>66</v>
      </c>
      <c r="X10" s="186" t="s">
        <v>66</v>
      </c>
      <c r="Y10" s="186" t="s">
        <v>66</v>
      </c>
      <c r="Z10" s="186" t="s">
        <v>66</v>
      </c>
      <c r="AA10" s="186" t="s">
        <v>66</v>
      </c>
      <c r="AB10" s="186" t="s">
        <v>66</v>
      </c>
      <c r="AC10" s="186" t="s">
        <v>66</v>
      </c>
      <c r="AD10" s="186" t="s">
        <v>66</v>
      </c>
      <c r="AE10" s="186" t="s">
        <v>66</v>
      </c>
      <c r="AF10" s="186" t="s">
        <v>66</v>
      </c>
      <c r="AG10" s="162"/>
      <c r="AH10" s="153"/>
    </row>
    <row r="11" spans="1:34" x14ac:dyDescent="0.2">
      <c r="A11" s="179" t="s">
        <v>2</v>
      </c>
      <c r="B11" s="334" t="s">
        <v>70</v>
      </c>
      <c r="C11" s="335" t="s">
        <v>71</v>
      </c>
      <c r="D11" s="158" t="s">
        <v>72</v>
      </c>
      <c r="E11" s="20">
        <v>7</v>
      </c>
      <c r="F11" s="159">
        <v>0.28000000000000003</v>
      </c>
      <c r="G11" s="182">
        <v>0.29234119001555814</v>
      </c>
      <c r="H11" s="182">
        <v>0.2373483377317466</v>
      </c>
      <c r="I11" s="182">
        <v>0.26714867965586381</v>
      </c>
      <c r="J11" s="182">
        <v>0.23933395925209619</v>
      </c>
      <c r="K11" s="182">
        <v>0.21049525755983822</v>
      </c>
      <c r="L11" s="182">
        <v>0.28113348247576436</v>
      </c>
      <c r="M11" s="182">
        <v>0.30171836643606337</v>
      </c>
      <c r="N11" s="182">
        <v>0.16683350016683351</v>
      </c>
      <c r="O11" s="182">
        <v>0.48130671506352091</v>
      </c>
      <c r="P11" s="182">
        <v>0.3381653042688465</v>
      </c>
      <c r="Q11" s="182">
        <v>0.2336644095635062</v>
      </c>
      <c r="R11" s="182">
        <v>0.26694668066736671</v>
      </c>
      <c r="S11" s="182">
        <v>0.20165368320349869</v>
      </c>
      <c r="T11" s="182">
        <v>0.181424883120508</v>
      </c>
      <c r="U11" s="182">
        <v>0.1846724389898958</v>
      </c>
      <c r="V11" s="182">
        <v>0.3952280161631711</v>
      </c>
      <c r="W11" s="182">
        <v>0.25263893743446347</v>
      </c>
      <c r="X11" s="182">
        <v>0.21874434593812195</v>
      </c>
      <c r="Y11" s="182">
        <v>0.25162280184114244</v>
      </c>
      <c r="Z11" s="182">
        <v>0.27185100473778795</v>
      </c>
      <c r="AA11" s="182">
        <v>0.233669443226655</v>
      </c>
      <c r="AB11" s="182">
        <v>0.22959218065385914</v>
      </c>
      <c r="AC11" s="182">
        <v>0.1443722583152868</v>
      </c>
      <c r="AD11" s="182">
        <v>0.19771863117870722</v>
      </c>
      <c r="AE11" s="182">
        <v>0.23000151217299258</v>
      </c>
      <c r="AF11" s="182">
        <v>0.21454256406374198</v>
      </c>
      <c r="AG11" s="162"/>
      <c r="AH11" s="153"/>
    </row>
    <row r="12" spans="1:34" x14ac:dyDescent="0.2">
      <c r="A12" s="179" t="s">
        <v>2</v>
      </c>
      <c r="B12" s="334"/>
      <c r="C12" s="335"/>
      <c r="D12" s="158" t="s">
        <v>92</v>
      </c>
      <c r="E12" s="20">
        <v>8</v>
      </c>
      <c r="F12" s="159">
        <v>6.9000000000000006E-2</v>
      </c>
      <c r="G12" s="177">
        <v>7.8991374454059071E-2</v>
      </c>
      <c r="H12" s="177">
        <v>7.2807373210699411E-2</v>
      </c>
      <c r="I12" s="177">
        <v>9.0114200225504856E-2</v>
      </c>
      <c r="J12" s="177">
        <v>7.9161940190204269E-2</v>
      </c>
      <c r="K12" s="177">
        <v>5.089307560557866E-2</v>
      </c>
      <c r="L12" s="177">
        <v>0.21768015727747272</v>
      </c>
      <c r="M12" s="177">
        <v>6.1890946961243774E-2</v>
      </c>
      <c r="N12" s="177">
        <v>0</v>
      </c>
      <c r="O12" s="177">
        <v>4.7186932849364784E-3</v>
      </c>
      <c r="P12" s="177">
        <v>6.8010899182561313E-2</v>
      </c>
      <c r="Q12" s="177">
        <v>6.3653408122472388E-2</v>
      </c>
      <c r="R12" s="177">
        <v>0.10617197526542994</v>
      </c>
      <c r="S12" s="177">
        <v>7.2844061773951085E-2</v>
      </c>
      <c r="T12" s="177">
        <v>0.14513990649640637</v>
      </c>
      <c r="U12" s="177">
        <v>2.8599714002859968E-2</v>
      </c>
      <c r="V12" s="177">
        <v>9.338721057020076E-2</v>
      </c>
      <c r="W12" s="177">
        <v>2.9080740999650474E-2</v>
      </c>
      <c r="X12" s="177">
        <v>6.8210602496833722E-2</v>
      </c>
      <c r="Y12" s="177">
        <v>0.1626342499704945</v>
      </c>
      <c r="Z12" s="177">
        <v>5.6635625987039161E-2</v>
      </c>
      <c r="AA12" s="177">
        <v>3.6095279848019871E-2</v>
      </c>
      <c r="AB12" s="177">
        <v>5.1702055948769803E-2</v>
      </c>
      <c r="AC12" s="177">
        <v>3.1761896829363097E-2</v>
      </c>
      <c r="AD12" s="177">
        <v>3.1550845400857536E-2</v>
      </c>
      <c r="AE12" s="177">
        <v>9.3376682292454258E-2</v>
      </c>
      <c r="AF12" s="177">
        <v>4.6254589499981076E-2</v>
      </c>
      <c r="AG12" s="162"/>
      <c r="AH12" s="153"/>
    </row>
    <row r="13" spans="1:34" x14ac:dyDescent="0.2">
      <c r="A13" s="184" t="s">
        <v>2</v>
      </c>
      <c r="B13" s="334"/>
      <c r="C13" s="335" t="s">
        <v>77</v>
      </c>
      <c r="D13" s="158" t="s">
        <v>13</v>
      </c>
      <c r="E13" s="20">
        <v>9</v>
      </c>
      <c r="F13" s="119">
        <v>0.95</v>
      </c>
      <c r="G13" s="173">
        <v>0.98118576403635438</v>
      </c>
      <c r="H13" s="173">
        <v>0.98903859328613841</v>
      </c>
      <c r="I13" s="173">
        <v>0.98842750170183802</v>
      </c>
      <c r="J13" s="173">
        <v>0.9893554109994086</v>
      </c>
      <c r="K13" s="173">
        <v>0.98933552091878585</v>
      </c>
      <c r="L13" s="173">
        <v>0.99392097264437695</v>
      </c>
      <c r="M13" s="173">
        <v>0.9838709677419355</v>
      </c>
      <c r="N13" s="173">
        <v>0.96</v>
      </c>
      <c r="O13" s="173">
        <v>0.99065420560747663</v>
      </c>
      <c r="P13" s="173">
        <v>0.99038461538461542</v>
      </c>
      <c r="Q13" s="173">
        <v>0.99789915966386555</v>
      </c>
      <c r="R13" s="173">
        <v>0.98913043478260865</v>
      </c>
      <c r="S13" s="173">
        <v>0.99598393574297184</v>
      </c>
      <c r="T13" s="173">
        <v>1</v>
      </c>
      <c r="U13" s="173">
        <v>1</v>
      </c>
      <c r="V13" s="173">
        <v>0.95486111111111116</v>
      </c>
      <c r="W13" s="173">
        <v>1</v>
      </c>
      <c r="X13" s="173">
        <v>1</v>
      </c>
      <c r="Y13" s="173">
        <v>1</v>
      </c>
      <c r="Z13" s="173">
        <v>0.99029126213592233</v>
      </c>
      <c r="AA13" s="173">
        <v>0.98449612403100772</v>
      </c>
      <c r="AB13" s="173">
        <v>0.97899159663865543</v>
      </c>
      <c r="AC13" s="173">
        <v>1</v>
      </c>
      <c r="AD13" s="173">
        <v>1</v>
      </c>
      <c r="AE13" s="173">
        <v>0.97665369649805445</v>
      </c>
      <c r="AF13" s="173">
        <v>1</v>
      </c>
      <c r="AG13" s="168"/>
      <c r="AH13" s="153"/>
    </row>
    <row r="14" spans="1:34" x14ac:dyDescent="0.2">
      <c r="A14" s="179" t="s">
        <v>2</v>
      </c>
      <c r="B14" s="334"/>
      <c r="C14" s="335"/>
      <c r="D14" s="158" t="s">
        <v>79</v>
      </c>
      <c r="E14" s="20">
        <v>10</v>
      </c>
      <c r="F14" s="119">
        <v>0.8</v>
      </c>
      <c r="G14" s="181">
        <v>0.88950855417645081</v>
      </c>
      <c r="H14" s="181">
        <v>0.89717647058823524</v>
      </c>
      <c r="I14" s="181">
        <v>0.82496194824961944</v>
      </c>
      <c r="J14" s="181">
        <v>0.91774647887323946</v>
      </c>
      <c r="K14" s="181">
        <v>0.94745908699397074</v>
      </c>
      <c r="L14" s="181">
        <v>0.64329896907216499</v>
      </c>
      <c r="M14" s="181">
        <v>0.84177215189873422</v>
      </c>
      <c r="N14" s="181">
        <v>0.92307692307692313</v>
      </c>
      <c r="O14" s="181">
        <v>0.96103896103896103</v>
      </c>
      <c r="P14" s="181">
        <v>0.94117647058823528</v>
      </c>
      <c r="Q14" s="181">
        <v>0.96439169139465875</v>
      </c>
      <c r="R14" s="181">
        <v>0.97716894977168944</v>
      </c>
      <c r="S14" s="181">
        <v>0.90977443609022557</v>
      </c>
      <c r="T14" s="181">
        <v>0.98882681564245811</v>
      </c>
      <c r="U14" s="181">
        <v>0.96652719665271969</v>
      </c>
      <c r="V14" s="181">
        <v>0.76237623762376239</v>
      </c>
      <c r="W14" s="181">
        <v>0.98611111111111116</v>
      </c>
      <c r="X14" s="181">
        <v>0.88073394495412849</v>
      </c>
      <c r="Y14" s="181">
        <v>0.90322580645161288</v>
      </c>
      <c r="Z14" s="181">
        <v>0.88500000000000001</v>
      </c>
      <c r="AA14" s="181">
        <v>0.97029702970297027</v>
      </c>
      <c r="AB14" s="181">
        <v>0.90308370044052866</v>
      </c>
      <c r="AC14" s="181">
        <v>0.9907407407407407</v>
      </c>
      <c r="AD14" s="181">
        <v>0.97014925373134331</v>
      </c>
      <c r="AE14" s="181">
        <v>0.92418772563176899</v>
      </c>
      <c r="AF14" s="181">
        <v>0.96761133603238869</v>
      </c>
      <c r="AG14" s="174"/>
      <c r="AH14" s="174"/>
    </row>
    <row r="15" spans="1:34" x14ac:dyDescent="0.2">
      <c r="A15" s="184" t="s">
        <v>2</v>
      </c>
      <c r="B15" s="334"/>
      <c r="C15" s="335"/>
      <c r="D15" s="158" t="s">
        <v>93</v>
      </c>
      <c r="E15" s="20">
        <v>11</v>
      </c>
      <c r="F15" s="119">
        <v>0.8</v>
      </c>
      <c r="G15" s="52">
        <v>0.9204025100344847</v>
      </c>
      <c r="H15" s="52">
        <v>0.95829260345389378</v>
      </c>
      <c r="I15" s="52">
        <v>0.9597388465723613</v>
      </c>
      <c r="J15" s="52">
        <v>0.96114195083267251</v>
      </c>
      <c r="K15" s="52">
        <v>0.952755905511811</v>
      </c>
      <c r="L15" s="52">
        <v>0.97058823529411764</v>
      </c>
      <c r="M15" s="52">
        <v>0.94444444444444442</v>
      </c>
      <c r="N15" s="52">
        <v>0.92307692307692313</v>
      </c>
      <c r="O15" s="52">
        <v>0.96052631578947367</v>
      </c>
      <c r="P15" s="52">
        <v>0.94017094017094016</v>
      </c>
      <c r="Q15" s="52">
        <v>0.98062015503875966</v>
      </c>
      <c r="R15" s="52">
        <v>0.97315436241610742</v>
      </c>
      <c r="S15" s="52">
        <v>0.98369565217391308</v>
      </c>
      <c r="T15" s="52">
        <v>0.97979797979797978</v>
      </c>
      <c r="U15" s="52">
        <v>0.97549019607843135</v>
      </c>
      <c r="V15" s="52">
        <v>0.85616438356164382</v>
      </c>
      <c r="W15" s="52">
        <v>0.9921875</v>
      </c>
      <c r="X15" s="52">
        <v>0.97499999999999998</v>
      </c>
      <c r="Y15" s="52">
        <v>0.94594594594594594</v>
      </c>
      <c r="Z15" s="52">
        <v>0.96875</v>
      </c>
      <c r="AA15" s="52">
        <v>0.96341463414634143</v>
      </c>
      <c r="AB15" s="52">
        <v>0.86904761904761907</v>
      </c>
      <c r="AC15" s="52">
        <v>0.98837209302325579</v>
      </c>
      <c r="AD15" s="52">
        <v>0.99415204678362568</v>
      </c>
      <c r="AE15" s="52">
        <v>0.96153846153846156</v>
      </c>
      <c r="AF15" s="52">
        <v>0.96</v>
      </c>
      <c r="AG15" s="168"/>
      <c r="AH15" s="153"/>
    </row>
    <row r="16" spans="1:34" x14ac:dyDescent="0.2">
      <c r="A16" s="179" t="s">
        <v>2</v>
      </c>
      <c r="B16" s="334"/>
      <c r="C16" s="335"/>
      <c r="D16" s="158" t="s">
        <v>94</v>
      </c>
      <c r="E16" s="20">
        <v>12</v>
      </c>
      <c r="F16" s="119">
        <v>0.8</v>
      </c>
      <c r="G16" s="168">
        <v>0.81685338528981977</v>
      </c>
      <c r="H16" s="168">
        <v>0.75783234546994072</v>
      </c>
      <c r="I16" s="168">
        <v>0.53670886075949364</v>
      </c>
      <c r="J16" s="168">
        <v>0.83268482490272377</v>
      </c>
      <c r="K16" s="168">
        <v>0.9375</v>
      </c>
      <c r="L16" s="168">
        <v>0.36032388663967613</v>
      </c>
      <c r="M16" s="168">
        <v>0.4375</v>
      </c>
      <c r="N16" s="168">
        <v>0</v>
      </c>
      <c r="O16" s="168">
        <v>1</v>
      </c>
      <c r="P16" s="168">
        <v>0.97222222222222221</v>
      </c>
      <c r="Q16" s="168">
        <v>0.92405063291139244</v>
      </c>
      <c r="R16" s="168">
        <v>0.98571428571428577</v>
      </c>
      <c r="S16" s="168">
        <v>0.74390243902439024</v>
      </c>
      <c r="T16" s="168">
        <v>1</v>
      </c>
      <c r="U16" s="168">
        <v>0.91428571428571426</v>
      </c>
      <c r="V16" s="168">
        <v>0.5357142857142857</v>
      </c>
      <c r="W16" s="168">
        <v>0.9375</v>
      </c>
      <c r="X16" s="168">
        <v>0.72413793103448276</v>
      </c>
      <c r="Y16" s="168">
        <v>0.89622641509433965</v>
      </c>
      <c r="Z16" s="168">
        <v>0.625</v>
      </c>
      <c r="AA16" s="168">
        <v>1</v>
      </c>
      <c r="AB16" s="168">
        <v>1</v>
      </c>
      <c r="AC16" s="168">
        <v>1</v>
      </c>
      <c r="AD16" s="168">
        <v>0.8666666666666667</v>
      </c>
      <c r="AE16" s="168">
        <v>0.86315789473684212</v>
      </c>
      <c r="AF16" s="168">
        <v>1</v>
      </c>
      <c r="AG16" s="168"/>
      <c r="AH16" s="168"/>
    </row>
    <row r="17" spans="1:40" x14ac:dyDescent="0.2">
      <c r="A17" s="179" t="s">
        <v>2</v>
      </c>
      <c r="B17" s="334"/>
      <c r="C17" s="178"/>
      <c r="D17" s="158" t="s">
        <v>17</v>
      </c>
      <c r="E17" s="20">
        <v>13</v>
      </c>
      <c r="F17" s="119">
        <v>0.9</v>
      </c>
      <c r="G17" s="175">
        <v>0.85860979462875198</v>
      </c>
      <c r="H17" s="175">
        <v>0.89039312678989846</v>
      </c>
      <c r="I17" s="175">
        <v>0.87308347529812602</v>
      </c>
      <c r="J17" s="175">
        <v>0.88543689320388352</v>
      </c>
      <c r="K17" s="175">
        <v>0.9153297682709447</v>
      </c>
      <c r="L17" s="175">
        <v>0.89968652037617558</v>
      </c>
      <c r="M17" s="175">
        <v>0.88461538461538458</v>
      </c>
      <c r="N17" s="175">
        <v>0.74399999999999999</v>
      </c>
      <c r="O17" s="175">
        <v>0.84313725490196079</v>
      </c>
      <c r="P17" s="175">
        <v>0.84065934065934067</v>
      </c>
      <c r="Q17" s="175">
        <v>0.92413793103448272</v>
      </c>
      <c r="R17" s="175">
        <v>0.87428571428571433</v>
      </c>
      <c r="S17" s="175">
        <v>0.87665198237885467</v>
      </c>
      <c r="T17" s="175">
        <v>0.85</v>
      </c>
      <c r="U17" s="175">
        <v>0.95132743362831862</v>
      </c>
      <c r="V17" s="175">
        <v>0.84033613445378152</v>
      </c>
      <c r="W17" s="175">
        <v>0.91176470588235292</v>
      </c>
      <c r="X17" s="175">
        <v>0.89010989010989006</v>
      </c>
      <c r="Y17" s="175">
        <v>0.87421383647798745</v>
      </c>
      <c r="Z17" s="175">
        <v>0.89119170984455964</v>
      </c>
      <c r="AA17" s="175">
        <v>0.93965517241379315</v>
      </c>
      <c r="AB17" s="175">
        <v>0.89230769230769225</v>
      </c>
      <c r="AC17" s="175">
        <v>0.94897959183673475</v>
      </c>
      <c r="AD17" s="175">
        <v>0.95454545454545459</v>
      </c>
      <c r="AE17" s="175">
        <v>0.86956521739130432</v>
      </c>
      <c r="AF17" s="175">
        <v>0.92727272727272725</v>
      </c>
      <c r="AG17" s="162"/>
      <c r="AH17" s="153"/>
    </row>
    <row r="18" spans="1:40" x14ac:dyDescent="0.2">
      <c r="A18" s="179" t="s">
        <v>2</v>
      </c>
      <c r="B18" s="334"/>
      <c r="C18" s="334" t="s">
        <v>83</v>
      </c>
      <c r="D18" s="118" t="s">
        <v>18</v>
      </c>
      <c r="E18" s="20">
        <v>14</v>
      </c>
      <c r="F18" s="119">
        <v>0.86</v>
      </c>
      <c r="G18" s="176">
        <v>0.87751337391625162</v>
      </c>
      <c r="H18" s="176">
        <v>0.87929433611884866</v>
      </c>
      <c r="I18" s="176">
        <v>0.90625</v>
      </c>
      <c r="J18" s="176">
        <v>0.87090163934426235</v>
      </c>
      <c r="K18" s="176">
        <v>0.86710963455149503</v>
      </c>
      <c r="L18" s="176">
        <v>0.91228070175438591</v>
      </c>
      <c r="M18" s="176">
        <v>0.97058823529411764</v>
      </c>
      <c r="N18" s="176">
        <v>0.91891891891891897</v>
      </c>
      <c r="O18" s="176">
        <v>0.8571428571428571</v>
      </c>
      <c r="P18" s="176">
        <v>0.91489361702127658</v>
      </c>
      <c r="Q18" s="176">
        <v>0.85507246376811596</v>
      </c>
      <c r="R18" s="176">
        <v>0.84375</v>
      </c>
      <c r="S18" s="176">
        <v>0.890625</v>
      </c>
      <c r="T18" s="176">
        <v>0.8125</v>
      </c>
      <c r="U18" s="176">
        <v>0.8441558441558441</v>
      </c>
      <c r="V18" s="176">
        <v>0.8571428571428571</v>
      </c>
      <c r="W18" s="176">
        <v>0.90909090909090906</v>
      </c>
      <c r="X18" s="176">
        <v>0.9242424242424242</v>
      </c>
      <c r="Y18" s="176">
        <v>0.92063492063492058</v>
      </c>
      <c r="Z18" s="176">
        <v>0.79411764705882348</v>
      </c>
      <c r="AA18" s="176">
        <v>0.77777777777777779</v>
      </c>
      <c r="AB18" s="176">
        <v>0.89610389610389607</v>
      </c>
      <c r="AC18" s="176">
        <v>0.75</v>
      </c>
      <c r="AD18" s="176">
        <v>0.92307692307692313</v>
      </c>
      <c r="AE18" s="176">
        <v>0.91666666666666663</v>
      </c>
      <c r="AF18" s="176">
        <v>0.82692307692307687</v>
      </c>
      <c r="AG18" s="166"/>
      <c r="AH18" s="154"/>
      <c r="AI18" s="164"/>
      <c r="AJ18" s="164"/>
      <c r="AK18" s="164"/>
      <c r="AL18" s="164"/>
      <c r="AM18" s="164"/>
      <c r="AN18" s="164"/>
    </row>
    <row r="19" spans="1:40" x14ac:dyDescent="0.2">
      <c r="A19" s="179" t="s">
        <v>2</v>
      </c>
      <c r="B19" s="334"/>
      <c r="C19" s="334"/>
      <c r="D19" s="118" t="s">
        <v>19</v>
      </c>
      <c r="E19" s="20">
        <v>15</v>
      </c>
      <c r="F19" s="119">
        <v>0.75</v>
      </c>
      <c r="G19" s="176">
        <v>0.77762403637082422</v>
      </c>
      <c r="H19" s="176">
        <v>0.84578079534432593</v>
      </c>
      <c r="I19" s="176">
        <v>0.83768115942028987</v>
      </c>
      <c r="J19" s="176">
        <v>0.88787185354691078</v>
      </c>
      <c r="K19" s="176">
        <v>0.7831325301204819</v>
      </c>
      <c r="L19" s="176">
        <v>0.88235294117647056</v>
      </c>
      <c r="M19" s="176">
        <v>0.73333333333333328</v>
      </c>
      <c r="N19" s="176">
        <v>0.7142857142857143</v>
      </c>
      <c r="O19" s="176">
        <v>0.73913043478260865</v>
      </c>
      <c r="P19" s="176">
        <v>0.98076923076923073</v>
      </c>
      <c r="Q19" s="176">
        <v>0.82291666666666663</v>
      </c>
      <c r="R19" s="176">
        <v>0.92727272727272725</v>
      </c>
      <c r="S19" s="176">
        <v>0.98461538461538467</v>
      </c>
      <c r="T19" s="176">
        <v>0.90476190476190477</v>
      </c>
      <c r="U19" s="176">
        <v>0.91860465116279066</v>
      </c>
      <c r="V19" s="176">
        <v>0.77192982456140347</v>
      </c>
      <c r="W19" s="176">
        <v>0.80701754385964908</v>
      </c>
      <c r="X19" s="176">
        <v>0.96</v>
      </c>
      <c r="Y19" s="176">
        <v>0.8571428571428571</v>
      </c>
      <c r="Z19" s="176">
        <v>0.86111111111111116</v>
      </c>
      <c r="AA19" s="176">
        <v>0.88095238095238093</v>
      </c>
      <c r="AB19" s="176">
        <v>0.57999999999999996</v>
      </c>
      <c r="AC19" s="176">
        <v>0.90476190476190477</v>
      </c>
      <c r="AD19" s="176">
        <v>0.81395348837209303</v>
      </c>
      <c r="AE19" s="176">
        <v>0.78260869565217395</v>
      </c>
      <c r="AF19" s="176">
        <v>0.82978723404255317</v>
      </c>
      <c r="AG19" s="176"/>
      <c r="AH19" s="153"/>
    </row>
    <row r="20" spans="1:40" x14ac:dyDescent="0.2">
      <c r="A20" s="185" t="s">
        <v>3</v>
      </c>
      <c r="B20" s="153"/>
      <c r="C20" s="331" t="s">
        <v>84</v>
      </c>
      <c r="D20" s="180" t="s">
        <v>95</v>
      </c>
      <c r="E20" s="20">
        <v>16</v>
      </c>
      <c r="F20" s="119">
        <v>0.85</v>
      </c>
      <c r="G20" s="183">
        <v>0.8152866242038217</v>
      </c>
      <c r="H20" s="183">
        <v>0.91666666666666663</v>
      </c>
      <c r="I20" s="183">
        <v>0.8</v>
      </c>
      <c r="J20" s="183">
        <v>1</v>
      </c>
      <c r="K20" s="183">
        <v>1</v>
      </c>
      <c r="L20" s="183">
        <v>0.5</v>
      </c>
      <c r="M20" s="183">
        <v>1</v>
      </c>
      <c r="N20" s="183">
        <v>1</v>
      </c>
      <c r="O20" s="183"/>
      <c r="P20" s="183">
        <v>1</v>
      </c>
      <c r="Q20" s="183">
        <v>0.83333333333333337</v>
      </c>
      <c r="R20" s="183">
        <v>1</v>
      </c>
      <c r="S20" s="183"/>
      <c r="T20" s="183">
        <v>1</v>
      </c>
      <c r="U20" s="183">
        <v>1</v>
      </c>
      <c r="V20" s="183">
        <v>1</v>
      </c>
      <c r="W20" s="183">
        <v>1</v>
      </c>
      <c r="X20" s="183">
        <v>1</v>
      </c>
      <c r="Y20" s="183"/>
      <c r="Z20" s="183">
        <v>1</v>
      </c>
      <c r="AA20" s="183">
        <v>1</v>
      </c>
      <c r="AB20" s="183"/>
      <c r="AC20" s="183"/>
      <c r="AD20" s="183">
        <v>1</v>
      </c>
      <c r="AE20" s="183">
        <v>1</v>
      </c>
      <c r="AF20" s="183">
        <v>1</v>
      </c>
      <c r="AG20" s="176"/>
      <c r="AH20" s="153"/>
    </row>
    <row r="21" spans="1:40" x14ac:dyDescent="0.2">
      <c r="A21" s="185" t="s">
        <v>3</v>
      </c>
      <c r="B21" s="153"/>
      <c r="C21" s="332"/>
      <c r="D21" s="180" t="s">
        <v>96</v>
      </c>
      <c r="E21" s="20">
        <v>17</v>
      </c>
      <c r="F21" s="119">
        <v>0.95</v>
      </c>
      <c r="G21" s="173">
        <v>0.98</v>
      </c>
      <c r="H21" s="173">
        <v>0.92307692307692313</v>
      </c>
      <c r="I21" s="173">
        <v>1</v>
      </c>
      <c r="J21" s="173">
        <v>0.75</v>
      </c>
      <c r="K21" s="173">
        <v>1</v>
      </c>
      <c r="L21" s="173"/>
      <c r="M21" s="173">
        <v>1</v>
      </c>
      <c r="N21" s="173"/>
      <c r="O21" s="173"/>
      <c r="P21" s="173"/>
      <c r="Q21" s="173">
        <v>1</v>
      </c>
      <c r="R21" s="173"/>
      <c r="S21" s="173">
        <v>1</v>
      </c>
      <c r="T21" s="173"/>
      <c r="U21" s="173">
        <v>1</v>
      </c>
      <c r="V21" s="173"/>
      <c r="W21" s="173"/>
      <c r="X21" s="173">
        <v>1</v>
      </c>
      <c r="Y21" s="173">
        <v>0</v>
      </c>
      <c r="Z21" s="173"/>
      <c r="AA21" s="173">
        <v>1</v>
      </c>
      <c r="AB21" s="173"/>
      <c r="AC21" s="173">
        <v>1</v>
      </c>
      <c r="AD21" s="173"/>
      <c r="AE21" s="173"/>
      <c r="AF21" s="173"/>
      <c r="AG21" s="176"/>
      <c r="AH21" s="153"/>
    </row>
    <row r="22" spans="1:40" x14ac:dyDescent="0.2">
      <c r="A22" s="185" t="s">
        <v>3</v>
      </c>
      <c r="B22" s="153"/>
      <c r="C22" s="332"/>
      <c r="D22" s="180" t="s">
        <v>97</v>
      </c>
      <c r="E22" s="20">
        <v>18</v>
      </c>
      <c r="F22" s="119">
        <v>0.77</v>
      </c>
      <c r="G22" s="173">
        <v>0.89351851851851849</v>
      </c>
      <c r="H22" s="173">
        <v>0.92105263157894735</v>
      </c>
      <c r="I22" s="173">
        <v>1</v>
      </c>
      <c r="J22" s="173">
        <v>0.85</v>
      </c>
      <c r="K22" s="173">
        <v>1</v>
      </c>
      <c r="L22" s="173">
        <v>1</v>
      </c>
      <c r="M22" s="173">
        <v>1</v>
      </c>
      <c r="N22" s="173">
        <v>1</v>
      </c>
      <c r="O22" s="173">
        <v>1</v>
      </c>
      <c r="P22" s="173"/>
      <c r="Q22" s="173">
        <v>1</v>
      </c>
      <c r="R22" s="173">
        <v>1</v>
      </c>
      <c r="S22" s="173"/>
      <c r="T22" s="173">
        <v>0.5</v>
      </c>
      <c r="U22" s="173">
        <v>0.8</v>
      </c>
      <c r="V22" s="173">
        <v>1</v>
      </c>
      <c r="W22" s="173">
        <v>1</v>
      </c>
      <c r="X22" s="173"/>
      <c r="Y22" s="173">
        <v>1</v>
      </c>
      <c r="Z22" s="173"/>
      <c r="AA22" s="173">
        <v>1</v>
      </c>
      <c r="AB22" s="173">
        <v>1</v>
      </c>
      <c r="AC22" s="173">
        <v>1</v>
      </c>
      <c r="AD22" s="173"/>
      <c r="AE22" s="173"/>
      <c r="AF22" s="173"/>
      <c r="AG22" s="176"/>
      <c r="AH22" s="153"/>
    </row>
    <row r="23" spans="1:40" x14ac:dyDescent="0.2">
      <c r="A23" s="185" t="s">
        <v>3</v>
      </c>
      <c r="B23" s="153"/>
      <c r="C23" s="333"/>
      <c r="D23" s="180" t="s">
        <v>98</v>
      </c>
      <c r="E23" s="20">
        <v>19</v>
      </c>
      <c r="F23" s="119">
        <v>0.95</v>
      </c>
      <c r="G23" s="173">
        <v>0.88278388278388276</v>
      </c>
      <c r="H23" s="173">
        <v>0.91836734693877553</v>
      </c>
      <c r="I23" s="173">
        <v>1</v>
      </c>
      <c r="J23" s="173">
        <v>0.875</v>
      </c>
      <c r="K23" s="173">
        <v>0.94117647058823528</v>
      </c>
      <c r="L23" s="173">
        <v>1</v>
      </c>
      <c r="M23" s="173">
        <v>1</v>
      </c>
      <c r="N23" s="173">
        <v>1</v>
      </c>
      <c r="O23" s="173">
        <v>1</v>
      </c>
      <c r="P23" s="173"/>
      <c r="Q23" s="173">
        <v>1</v>
      </c>
      <c r="R23" s="173">
        <v>1</v>
      </c>
      <c r="S23" s="173"/>
      <c r="T23" s="173">
        <v>0.66666666666666663</v>
      </c>
      <c r="U23" s="173">
        <v>0.8</v>
      </c>
      <c r="V23" s="173">
        <v>1</v>
      </c>
      <c r="W23" s="173">
        <v>1</v>
      </c>
      <c r="X23" s="173"/>
      <c r="Y23" s="173">
        <v>1</v>
      </c>
      <c r="Z23" s="173"/>
      <c r="AA23" s="173">
        <v>1</v>
      </c>
      <c r="AB23" s="173">
        <v>1</v>
      </c>
      <c r="AC23" s="173">
        <v>1</v>
      </c>
      <c r="AD23" s="173">
        <v>0.5</v>
      </c>
      <c r="AE23" s="173"/>
      <c r="AF23" s="173"/>
      <c r="AG23" s="176"/>
      <c r="AH23" s="153"/>
    </row>
  </sheetData>
  <mergeCells count="20">
    <mergeCell ref="AG3:AH3"/>
    <mergeCell ref="A2:A3"/>
    <mergeCell ref="B2:B3"/>
    <mergeCell ref="C2:C3"/>
    <mergeCell ref="D2:D3"/>
    <mergeCell ref="E2:E3"/>
    <mergeCell ref="F2:F3"/>
    <mergeCell ref="G2:G3"/>
    <mergeCell ref="H2:K2"/>
    <mergeCell ref="L2:Q2"/>
    <mergeCell ref="R2:Z2"/>
    <mergeCell ref="AA2:AF2"/>
    <mergeCell ref="C20:C23"/>
    <mergeCell ref="B4:B10"/>
    <mergeCell ref="C5:C10"/>
    <mergeCell ref="B11:B16"/>
    <mergeCell ref="C11:C12"/>
    <mergeCell ref="C13:C16"/>
    <mergeCell ref="B17:B19"/>
    <mergeCell ref="C18:C19"/>
  </mergeCells>
  <conditionalFormatting sqref="G11">
    <cfRule type="cellIs" dxfId="1051" priority="207" operator="greaterThan">
      <formula>0.28</formula>
    </cfRule>
    <cfRule type="cellIs" dxfId="1050" priority="208" operator="lessThanOrEqual">
      <formula>0.28</formula>
    </cfRule>
  </conditionalFormatting>
  <conditionalFormatting sqref="G12">
    <cfRule type="cellIs" dxfId="1049" priority="104" operator="lessThanOrEqual">
      <formula>0.069</formula>
    </cfRule>
    <cfRule type="cellIs" dxfId="1048" priority="103" operator="greaterThan">
      <formula>0.069</formula>
    </cfRule>
  </conditionalFormatting>
  <conditionalFormatting sqref="G11:L12">
    <cfRule type="cellIs" dxfId="1047" priority="82" operator="equal">
      <formula>"-"</formula>
    </cfRule>
  </conditionalFormatting>
  <conditionalFormatting sqref="G11:N11">
    <cfRule type="containsBlanks" dxfId="1046" priority="180">
      <formula>LEN(TRIM(G11))=0</formula>
    </cfRule>
  </conditionalFormatting>
  <conditionalFormatting sqref="G4:AF4">
    <cfRule type="cellIs" dxfId="1045" priority="354" operator="equal">
      <formula>"-"</formula>
    </cfRule>
    <cfRule type="cellIs" dxfId="1044" priority="357" operator="lessThanOrEqual">
      <formula>0.28</formula>
    </cfRule>
    <cfRule type="cellIs" dxfId="1043" priority="356" operator="greaterThan">
      <formula>0.28</formula>
    </cfRule>
    <cfRule type="containsBlanks" dxfId="1042" priority="355">
      <formula>LEN(TRIM(G4))=0</formula>
    </cfRule>
  </conditionalFormatting>
  <conditionalFormatting sqref="G5:AF5">
    <cfRule type="cellIs" dxfId="1041" priority="315" operator="greaterThanOrEqual">
      <formula>0.9</formula>
    </cfRule>
    <cfRule type="cellIs" dxfId="1040" priority="314" operator="lessThan">
      <formula>0.9</formula>
    </cfRule>
    <cfRule type="containsBlanks" dxfId="1039" priority="324">
      <formula>LEN(TRIM(G5))=0</formula>
    </cfRule>
  </conditionalFormatting>
  <conditionalFormatting sqref="G6:AF6">
    <cfRule type="containsBlanks" dxfId="1038" priority="209">
      <formula>LEN(TRIM(G6))=0</formula>
    </cfRule>
    <cfRule type="cellIs" dxfId="1037" priority="210" operator="lessThan">
      <formula>0.95</formula>
    </cfRule>
    <cfRule type="cellIs" dxfId="1036" priority="211" operator="greaterThanOrEqual">
      <formula>0.95</formula>
    </cfRule>
  </conditionalFormatting>
  <conditionalFormatting sqref="G6:AF7">
    <cfRule type="cellIs" dxfId="1035" priority="316" operator="equal">
      <formula>"-"</formula>
    </cfRule>
  </conditionalFormatting>
  <conditionalFormatting sqref="G7:AF7">
    <cfRule type="containsBlanks" dxfId="1034" priority="317">
      <formula>LEN(TRIM(G7))=0</formula>
    </cfRule>
    <cfRule type="cellIs" dxfId="1033" priority="318" operator="greaterThan">
      <formula>0.04</formula>
    </cfRule>
    <cfRule type="cellIs" dxfId="1032" priority="323" operator="lessThanOrEqual">
      <formula>0.04</formula>
    </cfRule>
  </conditionalFormatting>
  <conditionalFormatting sqref="G9:AF9">
    <cfRule type="containsBlanks" dxfId="1031" priority="299">
      <formula>LEN(TRIM(G9))=0</formula>
    </cfRule>
    <cfRule type="cellIs" dxfId="1030" priority="300" operator="lessThan">
      <formula>0.9</formula>
    </cfRule>
    <cfRule type="cellIs" dxfId="1029" priority="293" operator="greaterThanOrEqual">
      <formula>0.9</formula>
    </cfRule>
  </conditionalFormatting>
  <conditionalFormatting sqref="G9:AF10">
    <cfRule type="cellIs" dxfId="1028" priority="319" operator="equal">
      <formula>"-"</formula>
    </cfRule>
  </conditionalFormatting>
  <conditionalFormatting sqref="G10:AF10">
    <cfRule type="cellIs" dxfId="1027" priority="322" operator="lessThanOrEqual">
      <formula>0.28</formula>
    </cfRule>
    <cfRule type="cellIs" dxfId="1026" priority="321" operator="greaterThan">
      <formula>0.28</formula>
    </cfRule>
    <cfRule type="containsBlanks" dxfId="1025" priority="320">
      <formula>LEN(TRIM(G10))=0</formula>
    </cfRule>
  </conditionalFormatting>
  <conditionalFormatting sqref="G12:AF12">
    <cfRule type="containsBlanks" dxfId="1024" priority="1">
      <formula>LEN(TRIM(G12))=0</formula>
    </cfRule>
  </conditionalFormatting>
  <conditionalFormatting sqref="G13:AF13">
    <cfRule type="cellIs" dxfId="1023" priority="290" stopIfTrue="1" operator="greaterThanOrEqual">
      <formula>0.95</formula>
    </cfRule>
    <cfRule type="cellIs" dxfId="1022" priority="327" stopIfTrue="1" operator="lessThan">
      <formula>0.95</formula>
    </cfRule>
    <cfRule type="containsBlanks" dxfId="1021" priority="289">
      <formula>LEN(TRIM(G13))=0</formula>
    </cfRule>
  </conditionalFormatting>
  <conditionalFormatting sqref="G14:AF14">
    <cfRule type="cellIs" dxfId="1020" priority="213" operator="lessThan">
      <formula>0.8</formula>
    </cfRule>
    <cfRule type="cellIs" dxfId="1019" priority="214" operator="greaterThanOrEqual">
      <formula>0.8</formula>
    </cfRule>
    <cfRule type="containsBlanks" dxfId="1018" priority="212">
      <formula>LEN(TRIM(G14))=0</formula>
    </cfRule>
  </conditionalFormatting>
  <conditionalFormatting sqref="G17:AF17">
    <cfRule type="cellIs" dxfId="1017" priority="260" operator="lessThan">
      <formula>0.9</formula>
    </cfRule>
    <cfRule type="cellIs" dxfId="1016" priority="261" operator="greaterThanOrEqual">
      <formula>0.9</formula>
    </cfRule>
  </conditionalFormatting>
  <conditionalFormatting sqref="G17:AF19">
    <cfRule type="containsBlanks" dxfId="1015" priority="238">
      <formula>LEN(TRIM(G17))=0</formula>
    </cfRule>
  </conditionalFormatting>
  <conditionalFormatting sqref="G18:AF18">
    <cfRule type="cellIs" dxfId="1014" priority="249" operator="lessThan">
      <formula>0.86</formula>
    </cfRule>
    <cfRule type="cellIs" dxfId="1013" priority="250" operator="greaterThanOrEqual">
      <formula>0.86</formula>
    </cfRule>
    <cfRule type="cellIs" dxfId="1012" priority="248" operator="equal">
      <formula>"-"</formula>
    </cfRule>
  </conditionalFormatting>
  <conditionalFormatting sqref="G19:AF19">
    <cfRule type="cellIs" dxfId="1011" priority="240" operator="greaterThanOrEqual">
      <formula>0.75</formula>
    </cfRule>
    <cfRule type="cellIs" dxfId="1010" priority="239" operator="lessThan">
      <formula>0.75</formula>
    </cfRule>
  </conditionalFormatting>
  <conditionalFormatting sqref="G20:AF20">
    <cfRule type="cellIs" dxfId="1009" priority="231" stopIfTrue="1" operator="greaterThanOrEqual">
      <formula>0.85</formula>
    </cfRule>
    <cfRule type="cellIs" dxfId="1008" priority="234" stopIfTrue="1" operator="lessThan">
      <formula>0.85</formula>
    </cfRule>
  </conditionalFormatting>
  <conditionalFormatting sqref="G20:AF23">
    <cfRule type="containsBlanks" dxfId="1007" priority="224">
      <formula>LEN(TRIM(G20))=0</formula>
    </cfRule>
  </conditionalFormatting>
  <conditionalFormatting sqref="G21:AF21">
    <cfRule type="cellIs" dxfId="1006" priority="329" stopIfTrue="1" operator="lessThan">
      <formula>0.95</formula>
    </cfRule>
    <cfRule type="cellIs" dxfId="1005" priority="229" stopIfTrue="1" operator="greaterThanOrEqual">
      <formula>0.95</formula>
    </cfRule>
  </conditionalFormatting>
  <conditionalFormatting sqref="G22:AF22">
    <cfRule type="cellIs" dxfId="1004" priority="227" stopIfTrue="1" operator="greaterThanOrEqual">
      <formula>0.77</formula>
    </cfRule>
    <cfRule type="cellIs" dxfId="1003" priority="330" stopIfTrue="1" operator="lessThan">
      <formula>0.77</formula>
    </cfRule>
  </conditionalFormatting>
  <conditionalFormatting sqref="G23:AF23">
    <cfRule type="cellIs" dxfId="1002" priority="225" stopIfTrue="1" operator="greaterThanOrEqual">
      <formula>0.95</formula>
    </cfRule>
    <cfRule type="cellIs" dxfId="1001" priority="331" stopIfTrue="1" operator="lessThan">
      <formula>0.95</formula>
    </cfRule>
  </conditionalFormatting>
  <conditionalFormatting sqref="G8:AG8">
    <cfRule type="cellIs" dxfId="1000" priority="305" operator="lessThanOrEqual">
      <formula>0.11</formula>
    </cfRule>
    <cfRule type="cellIs" dxfId="999" priority="304" operator="greaterThan">
      <formula>0.11</formula>
    </cfRule>
    <cfRule type="containsBlanks" dxfId="998" priority="303">
      <formula>LEN(TRIM(G8))=0</formula>
    </cfRule>
    <cfRule type="cellIs" dxfId="997" priority="302" operator="equal">
      <formula>"-"</formula>
    </cfRule>
  </conditionalFormatting>
  <conditionalFormatting sqref="G15:AG15">
    <cfRule type="cellIs" dxfId="996" priority="282" operator="greaterThanOrEqual">
      <formula>0.8</formula>
    </cfRule>
    <cfRule type="containsBlanks" dxfId="995" priority="280">
      <formula>LEN(TRIM(G15))=0</formula>
    </cfRule>
    <cfRule type="cellIs" dxfId="994" priority="281" operator="lessThan">
      <formula>0.8</formula>
    </cfRule>
  </conditionalFormatting>
  <conditionalFormatting sqref="G14:AH14">
    <cfRule type="cellIs" dxfId="993" priority="215" operator="equal">
      <formula>"-"</formula>
    </cfRule>
  </conditionalFormatting>
  <conditionalFormatting sqref="G16:AH16">
    <cfRule type="cellIs" dxfId="992" priority="268" operator="equal">
      <formula>"-"</formula>
    </cfRule>
    <cfRule type="containsBlanks" dxfId="991" priority="269">
      <formula>LEN(TRIM(G16))=0</formula>
    </cfRule>
    <cfRule type="cellIs" dxfId="990" priority="271" operator="greaterThanOrEqual">
      <formula>0.75</formula>
    </cfRule>
    <cfRule type="cellIs" dxfId="989" priority="270" operator="lessThan">
      <formula>0.75</formula>
    </cfRule>
  </conditionalFormatting>
  <conditionalFormatting sqref="H11">
    <cfRule type="cellIs" dxfId="988" priority="200" operator="greaterThan">
      <formula>0.27</formula>
    </cfRule>
    <cfRule type="cellIs" dxfId="987" priority="201" operator="lessThanOrEqual">
      <formula>0.27</formula>
    </cfRule>
  </conditionalFormatting>
  <conditionalFormatting sqref="H12">
    <cfRule type="cellIs" dxfId="986" priority="100" operator="lessThanOrEqual">
      <formula>0.064</formula>
    </cfRule>
    <cfRule type="cellIs" dxfId="985" priority="99" operator="greaterThan">
      <formula>0.064</formula>
    </cfRule>
  </conditionalFormatting>
  <conditionalFormatting sqref="H9:AF9">
    <cfRule type="containsBlanks" dxfId="984" priority="291">
      <formula>LEN(TRIM(H9))=0</formula>
    </cfRule>
    <cfRule type="cellIs" dxfId="983" priority="292" operator="lessThan">
      <formula>0.9</formula>
    </cfRule>
    <cfRule type="cellIs" dxfId="982" priority="294" operator="equal">
      <formula>"-"</formula>
    </cfRule>
  </conditionalFormatting>
  <conditionalFormatting sqref="H20:AF20">
    <cfRule type="cellIs" dxfId="981" priority="233" stopIfTrue="1" operator="greaterThanOrEqual">
      <formula>0.85</formula>
    </cfRule>
    <cfRule type="containsBlanks" dxfId="980" priority="232">
      <formula>LEN(TRIM(H20))=0</formula>
    </cfRule>
  </conditionalFormatting>
  <conditionalFormatting sqref="I11">
    <cfRule type="cellIs" dxfId="979" priority="204" operator="lessThanOrEqual">
      <formula>0.29</formula>
    </cfRule>
    <cfRule type="cellIs" dxfId="978" priority="203" operator="greaterThan">
      <formula>0.29</formula>
    </cfRule>
  </conditionalFormatting>
  <conditionalFormatting sqref="I12">
    <cfRule type="cellIs" dxfId="977" priority="95" operator="greaterThan">
      <formula>0.0634</formula>
    </cfRule>
    <cfRule type="cellIs" dxfId="976" priority="96" operator="lessThanOrEqual">
      <formula>0.0634</formula>
    </cfRule>
  </conditionalFormatting>
  <conditionalFormatting sqref="J11">
    <cfRule type="cellIs" dxfId="975" priority="195" operator="greaterThan">
      <formula>0.3</formula>
    </cfRule>
    <cfRule type="cellIs" dxfId="974" priority="196" operator="lessThanOrEqual">
      <formula>0.3</formula>
    </cfRule>
  </conditionalFormatting>
  <conditionalFormatting sqref="J12">
    <cfRule type="cellIs" dxfId="973" priority="92" operator="lessThanOrEqual">
      <formula>0.0733</formula>
    </cfRule>
    <cfRule type="cellIs" dxfId="972" priority="91" operator="greaterThan">
      <formula>0.0733</formula>
    </cfRule>
  </conditionalFormatting>
  <conditionalFormatting sqref="K11">
    <cfRule type="cellIs" dxfId="971" priority="191" operator="greaterThan">
      <formula>0.23</formula>
    </cfRule>
    <cfRule type="cellIs" dxfId="970" priority="192" operator="lessThanOrEqual">
      <formula>0.23</formula>
    </cfRule>
  </conditionalFormatting>
  <conditionalFormatting sqref="K12">
    <cfRule type="cellIs" dxfId="969" priority="87" operator="greaterThan">
      <formula>0.0553</formula>
    </cfRule>
    <cfRule type="cellIs" dxfId="968" priority="88" operator="lessThanOrEqual">
      <formula>0.0553</formula>
    </cfRule>
  </conditionalFormatting>
  <conditionalFormatting sqref="L11">
    <cfRule type="cellIs" dxfId="967" priority="187" operator="greaterThan">
      <formula>0.27</formula>
    </cfRule>
    <cfRule type="cellIs" dxfId="966" priority="188" operator="lessThanOrEqual">
      <formula>0.27</formula>
    </cfRule>
  </conditionalFormatting>
  <conditionalFormatting sqref="L12">
    <cfRule type="cellIs" dxfId="965" priority="83" operator="greaterThan">
      <formula>0.0878</formula>
    </cfRule>
    <cfRule type="cellIs" dxfId="964" priority="84" operator="lessThanOrEqual">
      <formula>0.0878</formula>
    </cfRule>
  </conditionalFormatting>
  <conditionalFormatting sqref="M11">
    <cfRule type="cellIs" dxfId="963" priority="178" operator="equal">
      <formula>"-"</formula>
    </cfRule>
  </conditionalFormatting>
  <conditionalFormatting sqref="M12">
    <cfRule type="cellIs" dxfId="962" priority="79" operator="greaterThan">
      <formula>0.064</formula>
    </cfRule>
    <cfRule type="cellIs" dxfId="961" priority="80" operator="lessThanOrEqual">
      <formula>0.064</formula>
    </cfRule>
  </conditionalFormatting>
  <conditionalFormatting sqref="M11:N11">
    <cfRule type="cellIs" dxfId="960" priority="181" operator="greaterThan">
      <formula>0.29</formula>
    </cfRule>
    <cfRule type="cellIs" dxfId="959" priority="182" operator="lessThanOrEqual">
      <formula>0.29</formula>
    </cfRule>
  </conditionalFormatting>
  <conditionalFormatting sqref="M12:AF12">
    <cfRule type="cellIs" dxfId="958" priority="2" operator="equal">
      <formula>"-"</formula>
    </cfRule>
  </conditionalFormatting>
  <conditionalFormatting sqref="N12:O12">
    <cfRule type="cellIs" dxfId="957" priority="71" operator="greaterThan">
      <formula>0.04</formula>
    </cfRule>
    <cfRule type="cellIs" dxfId="956" priority="72" operator="lessThanOrEqual">
      <formula>0.04</formula>
    </cfRule>
  </conditionalFormatting>
  <conditionalFormatting sqref="N11:AF11">
    <cfRule type="cellIs" dxfId="955" priority="105" operator="equal">
      <formula>"-"</formula>
    </cfRule>
  </conditionalFormatting>
  <conditionalFormatting sqref="O11">
    <cfRule type="cellIs" dxfId="954" priority="176" operator="lessThanOrEqual">
      <formula>0.33</formula>
    </cfRule>
    <cfRule type="cellIs" dxfId="953" priority="175" operator="greaterThan">
      <formula>0.33</formula>
    </cfRule>
  </conditionalFormatting>
  <conditionalFormatting sqref="O11:AF11">
    <cfRule type="containsBlanks" dxfId="952" priority="106">
      <formula>LEN(TRIM(O11))=0</formula>
    </cfRule>
  </conditionalFormatting>
  <conditionalFormatting sqref="P11">
    <cfRule type="cellIs" dxfId="951" priority="172" operator="lessThanOrEqual">
      <formula>0.29</formula>
    </cfRule>
    <cfRule type="cellIs" dxfId="950" priority="171" operator="greaterThan">
      <formula>0.29</formula>
    </cfRule>
  </conditionalFormatting>
  <conditionalFormatting sqref="P12">
    <cfRule type="cellIs" dxfId="949" priority="68" operator="lessThanOrEqual">
      <formula>0.0575</formula>
    </cfRule>
    <cfRule type="cellIs" dxfId="948" priority="67" operator="greaterThan">
      <formula>0.0575</formula>
    </cfRule>
  </conditionalFormatting>
  <conditionalFormatting sqref="Q11">
    <cfRule type="cellIs" dxfId="947" priority="168" operator="lessThanOrEqual">
      <formula>0.27</formula>
    </cfRule>
    <cfRule type="cellIs" dxfId="946" priority="167" operator="greaterThan">
      <formula>0.27</formula>
    </cfRule>
  </conditionalFormatting>
  <conditionalFormatting sqref="Q12">
    <cfRule type="cellIs" dxfId="945" priority="63" operator="greaterThan">
      <formula>0.0911</formula>
    </cfRule>
    <cfRule type="cellIs" dxfId="944" priority="64" operator="lessThanOrEqual">
      <formula>0.0911</formula>
    </cfRule>
  </conditionalFormatting>
  <conditionalFormatting sqref="R11">
    <cfRule type="cellIs" dxfId="943" priority="164" operator="lessThanOrEqual">
      <formula>0.32</formula>
    </cfRule>
    <cfRule type="cellIs" dxfId="942" priority="163" operator="greaterThan">
      <formula>0.32</formula>
    </cfRule>
  </conditionalFormatting>
  <conditionalFormatting sqref="R12">
    <cfRule type="cellIs" dxfId="941" priority="60" operator="lessThanOrEqual">
      <formula>0.0617</formula>
    </cfRule>
    <cfRule type="cellIs" dxfId="940" priority="59" operator="greaterThan">
      <formula>0.0617</formula>
    </cfRule>
  </conditionalFormatting>
  <conditionalFormatting sqref="S11">
    <cfRule type="cellIs" dxfId="939" priority="160" operator="lessThanOrEqual">
      <formula>0.27</formula>
    </cfRule>
    <cfRule type="cellIs" dxfId="938" priority="159" operator="greaterThan">
      <formula>0.27</formula>
    </cfRule>
  </conditionalFormatting>
  <conditionalFormatting sqref="S12">
    <cfRule type="cellIs" dxfId="937" priority="55" operator="greaterThan">
      <formula>0.0549</formula>
    </cfRule>
    <cfRule type="cellIs" dxfId="936" priority="56" operator="lessThanOrEqual">
      <formula>0.0549</formula>
    </cfRule>
  </conditionalFormatting>
  <conditionalFormatting sqref="T11">
    <cfRule type="cellIs" dxfId="935" priority="155" operator="greaterThan">
      <formula>0.29</formula>
    </cfRule>
    <cfRule type="cellIs" dxfId="934" priority="156" operator="lessThanOrEqual">
      <formula>0.29</formula>
    </cfRule>
  </conditionalFormatting>
  <conditionalFormatting sqref="T12">
    <cfRule type="cellIs" dxfId="933" priority="52" operator="lessThanOrEqual">
      <formula>0.1038</formula>
    </cfRule>
    <cfRule type="cellIs" dxfId="932" priority="51" operator="greaterThan">
      <formula>0.1038</formula>
    </cfRule>
  </conditionalFormatting>
  <conditionalFormatting sqref="U11">
    <cfRule type="cellIs" dxfId="931" priority="152" operator="lessThanOrEqual">
      <formula>0.27</formula>
    </cfRule>
    <cfRule type="cellIs" dxfId="930" priority="151" operator="greaterThan">
      <formula>0.27</formula>
    </cfRule>
  </conditionalFormatting>
  <conditionalFormatting sqref="U12">
    <cfRule type="cellIs" dxfId="929" priority="47" operator="greaterThan">
      <formula>0.066</formula>
    </cfRule>
    <cfRule type="cellIs" dxfId="928" priority="48" operator="lessThanOrEqual">
      <formula>0.066</formula>
    </cfRule>
  </conditionalFormatting>
  <conditionalFormatting sqref="V11">
    <cfRule type="cellIs" dxfId="927" priority="148" operator="lessThanOrEqual">
      <formula>0.37</formula>
    </cfRule>
    <cfRule type="cellIs" dxfId="926" priority="147" operator="greaterThan">
      <formula>0.37</formula>
    </cfRule>
  </conditionalFormatting>
  <conditionalFormatting sqref="V12">
    <cfRule type="cellIs" dxfId="925" priority="44" operator="lessThanOrEqual">
      <formula>0.0599</formula>
    </cfRule>
    <cfRule type="cellIs" dxfId="924" priority="43" operator="greaterThan">
      <formula>0.0599</formula>
    </cfRule>
  </conditionalFormatting>
  <conditionalFormatting sqref="W11">
    <cfRule type="cellIs" dxfId="923" priority="144" operator="lessThanOrEqual">
      <formula>0.27</formula>
    </cfRule>
    <cfRule type="cellIs" dxfId="922" priority="143" operator="greaterThan">
      <formula>0.27</formula>
    </cfRule>
  </conditionalFormatting>
  <conditionalFormatting sqref="W12">
    <cfRule type="cellIs" dxfId="921" priority="39" operator="greaterThan">
      <formula>0.0768</formula>
    </cfRule>
    <cfRule type="cellIs" dxfId="920" priority="40" operator="lessThanOrEqual">
      <formula>0.0768</formula>
    </cfRule>
  </conditionalFormatting>
  <conditionalFormatting sqref="X11">
    <cfRule type="cellIs" dxfId="919" priority="140" operator="lessThanOrEqual">
      <formula>0.29</formula>
    </cfRule>
    <cfRule type="cellIs" dxfId="918" priority="139" operator="greaterThan">
      <formula>0.29</formula>
    </cfRule>
  </conditionalFormatting>
  <conditionalFormatting sqref="X12">
    <cfRule type="cellIs" dxfId="917" priority="36" operator="lessThanOrEqual">
      <formula>0.0817</formula>
    </cfRule>
    <cfRule type="cellIs" dxfId="916" priority="35" operator="greaterThan">
      <formula>0.0817</formula>
    </cfRule>
  </conditionalFormatting>
  <conditionalFormatting sqref="Y11">
    <cfRule type="cellIs" dxfId="915" priority="135" operator="greaterThan">
      <formula>0.28</formula>
    </cfRule>
    <cfRule type="cellIs" dxfId="914" priority="136" operator="lessThanOrEqual">
      <formula>0.28</formula>
    </cfRule>
  </conditionalFormatting>
  <conditionalFormatting sqref="Y12">
    <cfRule type="cellIs" dxfId="913" priority="32" operator="lessThanOrEqual">
      <formula>0.0951</formula>
    </cfRule>
    <cfRule type="cellIs" dxfId="912" priority="31" operator="greaterThan">
      <formula>0.0951</formula>
    </cfRule>
  </conditionalFormatting>
  <conditionalFormatting sqref="Z11">
    <cfRule type="cellIs" dxfId="911" priority="132" operator="lessThanOrEqual">
      <formula>0.32</formula>
    </cfRule>
    <cfRule type="cellIs" dxfId="910" priority="131" operator="greaterThan">
      <formula>0.32</formula>
    </cfRule>
  </conditionalFormatting>
  <conditionalFormatting sqref="Z12">
    <cfRule type="cellIs" dxfId="909" priority="28" operator="lessThanOrEqual">
      <formula>0.0594</formula>
    </cfRule>
    <cfRule type="cellIs" dxfId="908" priority="27" operator="greaterThan">
      <formula>0.0594</formula>
    </cfRule>
  </conditionalFormatting>
  <conditionalFormatting sqref="AA11">
    <cfRule type="cellIs" dxfId="907" priority="128" operator="lessThanOrEqual">
      <formula>0.235</formula>
    </cfRule>
    <cfRule type="cellIs" dxfId="906" priority="127" operator="greaterThan">
      <formula>0.235</formula>
    </cfRule>
  </conditionalFormatting>
  <conditionalFormatting sqref="AA12">
    <cfRule type="cellIs" dxfId="905" priority="24" operator="lessThanOrEqual">
      <formula>0.0492</formula>
    </cfRule>
    <cfRule type="cellIs" dxfId="904" priority="23" operator="greaterThan">
      <formula>0.0492</formula>
    </cfRule>
  </conditionalFormatting>
  <conditionalFormatting sqref="AB11">
    <cfRule type="cellIs" dxfId="903" priority="124" operator="lessThanOrEqual">
      <formula>0.245</formula>
    </cfRule>
    <cfRule type="cellIs" dxfId="902" priority="123" operator="greaterThan">
      <formula>0.245</formula>
    </cfRule>
  </conditionalFormatting>
  <conditionalFormatting sqref="AB12">
    <cfRule type="cellIs" dxfId="901" priority="20" operator="lessThanOrEqual">
      <formula>0.0409</formula>
    </cfRule>
    <cfRule type="cellIs" dxfId="900" priority="19" operator="greaterThan">
      <formula>0.0409</formula>
    </cfRule>
  </conditionalFormatting>
  <conditionalFormatting sqref="AC11">
    <cfRule type="cellIs" dxfId="899" priority="120" operator="lessThanOrEqual">
      <formula>0.195</formula>
    </cfRule>
    <cfRule type="cellIs" dxfId="898" priority="119" operator="greaterThan">
      <formula>0.195</formula>
    </cfRule>
  </conditionalFormatting>
  <conditionalFormatting sqref="AC12">
    <cfRule type="cellIs" dxfId="897" priority="16" operator="lessThanOrEqual">
      <formula>0.0507</formula>
    </cfRule>
    <cfRule type="cellIs" dxfId="896" priority="15" operator="greaterThan">
      <formula>0.0507</formula>
    </cfRule>
  </conditionalFormatting>
  <conditionalFormatting sqref="AD12">
    <cfRule type="cellIs" dxfId="895" priority="11" operator="greaterThan">
      <formula>0.066</formula>
    </cfRule>
    <cfRule type="cellIs" dxfId="894" priority="12" operator="lessThanOrEqual">
      <formula>0.066</formula>
    </cfRule>
  </conditionalFormatting>
  <conditionalFormatting sqref="AD11:AE11">
    <cfRule type="cellIs" dxfId="893" priority="112" operator="lessThanOrEqual">
      <formula>0.245</formula>
    </cfRule>
    <cfRule type="cellIs" dxfId="892" priority="111" operator="greaterThan">
      <formula>0.245</formula>
    </cfRule>
  </conditionalFormatting>
  <conditionalFormatting sqref="AE12">
    <cfRule type="cellIs" dxfId="891" priority="7" operator="greaterThan">
      <formula>0.073</formula>
    </cfRule>
    <cfRule type="cellIs" dxfId="890" priority="8" operator="lessThanOrEqual">
      <formula>0.073</formula>
    </cfRule>
  </conditionalFormatting>
  <conditionalFormatting sqref="AF11">
    <cfRule type="cellIs" dxfId="889" priority="108" operator="lessThanOrEqual">
      <formula>0.225</formula>
    </cfRule>
    <cfRule type="cellIs" dxfId="888" priority="107" operator="greaterThan">
      <formula>0.225</formula>
    </cfRule>
  </conditionalFormatting>
  <conditionalFormatting sqref="AF12">
    <cfRule type="cellIs" dxfId="887" priority="3" operator="greaterThan">
      <formula>0.0518</formula>
    </cfRule>
    <cfRule type="cellIs" dxfId="886" priority="4" operator="lessThanOrEqual">
      <formula>0.0518</formula>
    </cfRule>
  </conditionalFormatting>
  <conditionalFormatting sqref="AG5">
    <cfRule type="cellIs" dxfId="885" priority="352" operator="lessThan">
      <formula>0.9</formula>
    </cfRule>
    <cfRule type="containsBlanks" dxfId="884" priority="351">
      <formula>LEN(TRIM(AG5))=0</formula>
    </cfRule>
    <cfRule type="cellIs" dxfId="883" priority="353" operator="greaterThanOrEqual">
      <formula>0.9</formula>
    </cfRule>
  </conditionalFormatting>
  <conditionalFormatting sqref="AG19:AG23">
    <cfRule type="containsBlanks" dxfId="882" priority="336">
      <formula>LEN(TRIM(AG19))=0</formula>
    </cfRule>
    <cfRule type="cellIs" dxfId="881" priority="337" operator="equal">
      <formula>"-"</formula>
    </cfRule>
    <cfRule type="cellIs" dxfId="880" priority="338" operator="lessThan">
      <formula>0.74</formula>
    </cfRule>
    <cfRule type="cellIs" dxfId="879" priority="339" operator="greaterThanOrEqual">
      <formula>0.74</formula>
    </cfRule>
  </conditionalFormatting>
  <conditionalFormatting sqref="AG14:AH14">
    <cfRule type="containsBlanks" dxfId="878" priority="347">
      <formula>LEN(TRIM(AG14))=0</formula>
    </cfRule>
    <cfRule type="cellIs" dxfId="877" priority="349" operator="lessThan">
      <formula>0.8</formula>
    </cfRule>
    <cfRule type="cellIs" dxfId="876" priority="350" operator="greaterThanOrEqual">
      <formula>0.8</formula>
    </cfRule>
  </conditionalFormatting>
  <conditionalFormatting sqref="AI18:AN18">
    <cfRule type="containsBlanks" dxfId="875" priority="358">
      <formula>LEN(TRIM(AI18))=0</formula>
    </cfRule>
    <cfRule type="cellIs" dxfId="874" priority="359" operator="lessThan">
      <formula>0.84</formula>
    </cfRule>
    <cfRule type="cellIs" dxfId="873" priority="360" operator="greaterThanOrEqual">
      <formula>0.84</formula>
    </cfRule>
  </conditionalFormatting>
  <pageMargins left="0.7" right="0.7" top="0.75" bottom="0.75" header="0.3" footer="0.3"/>
  <pageSetup paperSize="9" orientation="landscape" horizontalDpi="4294967293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23"/>
  <sheetViews>
    <sheetView zoomScale="82" zoomScaleNormal="82" workbookViewId="0">
      <pane xSplit="6" ySplit="3" topLeftCell="G5" activePane="bottomRight" state="frozen"/>
      <selection pane="topRight" activeCell="I31" sqref="I31"/>
      <selection pane="bottomLeft" activeCell="I31" sqref="I31"/>
      <selection pane="bottomRight" activeCell="B39" sqref="B39"/>
    </sheetView>
  </sheetViews>
  <sheetFormatPr defaultColWidth="9.140625" defaultRowHeight="12.75" x14ac:dyDescent="0.2"/>
  <cols>
    <col min="1" max="1" width="11" style="11" bestFit="1" customWidth="1"/>
    <col min="2" max="2" width="10.42578125" style="11" bestFit="1" customWidth="1"/>
    <col min="3" max="3" width="19.42578125" style="160" customWidth="1"/>
    <col min="4" max="4" width="64.28515625" style="11" bestFit="1" customWidth="1"/>
    <col min="5" max="5" width="3.28515625" style="11" bestFit="1" customWidth="1"/>
    <col min="6" max="6" width="7" style="11" bestFit="1" customWidth="1"/>
    <col min="7" max="7" width="11.42578125" style="21" hidden="1" customWidth="1"/>
    <col min="8" max="8" width="9.5703125" style="11" hidden="1" customWidth="1"/>
    <col min="9" max="10" width="9.140625" style="11" hidden="1" customWidth="1"/>
    <col min="11" max="11" width="9.140625" style="11" customWidth="1"/>
    <col min="12" max="26" width="9.140625" style="11" hidden="1" customWidth="1"/>
    <col min="27" max="32" width="9.140625" style="11" customWidth="1"/>
    <col min="33" max="34" width="17.7109375" style="11" customWidth="1"/>
    <col min="35" max="16384" width="9.140625" style="11"/>
  </cols>
  <sheetData>
    <row r="1" spans="1:34" x14ac:dyDescent="0.2">
      <c r="A1" s="11" t="s">
        <v>35</v>
      </c>
    </row>
    <row r="2" spans="1:34" x14ac:dyDescent="0.2">
      <c r="A2" s="334" t="s">
        <v>0</v>
      </c>
      <c r="B2" s="334" t="s">
        <v>36</v>
      </c>
      <c r="C2" s="334" t="s">
        <v>37</v>
      </c>
      <c r="D2" s="338" t="s">
        <v>90</v>
      </c>
      <c r="E2" s="338" t="s">
        <v>24</v>
      </c>
      <c r="F2" s="338" t="s">
        <v>39</v>
      </c>
      <c r="G2" s="339" t="s">
        <v>40</v>
      </c>
      <c r="H2" s="338" t="s">
        <v>41</v>
      </c>
      <c r="I2" s="338"/>
      <c r="J2" s="338"/>
      <c r="K2" s="338"/>
      <c r="L2" s="340" t="s">
        <v>42</v>
      </c>
      <c r="M2" s="340"/>
      <c r="N2" s="340"/>
      <c r="O2" s="340"/>
      <c r="P2" s="340"/>
      <c r="Q2" s="340"/>
      <c r="R2" s="341" t="s">
        <v>43</v>
      </c>
      <c r="S2" s="341"/>
      <c r="T2" s="341"/>
      <c r="U2" s="341"/>
      <c r="V2" s="341"/>
      <c r="W2" s="341"/>
      <c r="X2" s="341"/>
      <c r="Y2" s="341"/>
      <c r="Z2" s="341"/>
      <c r="AA2" s="342" t="s">
        <v>44</v>
      </c>
      <c r="AB2" s="342"/>
      <c r="AC2" s="342"/>
      <c r="AD2" s="342"/>
      <c r="AE2" s="342"/>
      <c r="AF2" s="342"/>
      <c r="AG2" s="64" t="s">
        <v>28</v>
      </c>
      <c r="AH2" s="64" t="s">
        <v>29</v>
      </c>
    </row>
    <row r="3" spans="1:34" ht="15" customHeight="1" x14ac:dyDescent="0.2">
      <c r="A3" s="334"/>
      <c r="B3" s="334"/>
      <c r="C3" s="334"/>
      <c r="D3" s="338"/>
      <c r="E3" s="338"/>
      <c r="F3" s="338"/>
      <c r="G3" s="339"/>
      <c r="H3" s="19" t="s">
        <v>45</v>
      </c>
      <c r="I3" s="20" t="s">
        <v>26</v>
      </c>
      <c r="J3" s="20" t="s">
        <v>46</v>
      </c>
      <c r="K3" s="20" t="s">
        <v>91</v>
      </c>
      <c r="L3" s="193" t="s">
        <v>27</v>
      </c>
      <c r="M3" s="193" t="s">
        <v>30</v>
      </c>
      <c r="N3" s="193" t="s">
        <v>31</v>
      </c>
      <c r="O3" s="193" t="s">
        <v>32</v>
      </c>
      <c r="P3" s="193" t="s">
        <v>33</v>
      </c>
      <c r="Q3" s="193" t="s">
        <v>34</v>
      </c>
      <c r="R3" s="194" t="s">
        <v>47</v>
      </c>
      <c r="S3" s="194" t="s">
        <v>48</v>
      </c>
      <c r="T3" s="194" t="s">
        <v>49</v>
      </c>
      <c r="U3" s="194" t="s">
        <v>50</v>
      </c>
      <c r="V3" s="194" t="s">
        <v>51</v>
      </c>
      <c r="W3" s="194" t="s">
        <v>52</v>
      </c>
      <c r="X3" s="194" t="s">
        <v>53</v>
      </c>
      <c r="Y3" s="194" t="s">
        <v>54</v>
      </c>
      <c r="Z3" s="194" t="s">
        <v>55</v>
      </c>
      <c r="AA3" s="195" t="s">
        <v>56</v>
      </c>
      <c r="AB3" s="195" t="s">
        <v>57</v>
      </c>
      <c r="AC3" s="195" t="s">
        <v>58</v>
      </c>
      <c r="AD3" s="195" t="s">
        <v>59</v>
      </c>
      <c r="AE3" s="195" t="s">
        <v>60</v>
      </c>
      <c r="AF3" s="195" t="s">
        <v>61</v>
      </c>
      <c r="AG3" s="336" t="s">
        <v>62</v>
      </c>
      <c r="AH3" s="337"/>
    </row>
    <row r="4" spans="1:34" s="163" customFormat="1" hidden="1" x14ac:dyDescent="0.25">
      <c r="A4" s="179" t="s">
        <v>2</v>
      </c>
      <c r="B4" s="334" t="s">
        <v>63</v>
      </c>
      <c r="C4" s="155" t="s">
        <v>64</v>
      </c>
      <c r="D4" s="156" t="s">
        <v>65</v>
      </c>
      <c r="E4" s="20">
        <v>1</v>
      </c>
      <c r="F4" s="157">
        <v>0.03</v>
      </c>
      <c r="G4" s="172" t="s">
        <v>66</v>
      </c>
      <c r="H4" s="172" t="s">
        <v>66</v>
      </c>
      <c r="I4" s="172" t="s">
        <v>66</v>
      </c>
      <c r="J4" s="172" t="s">
        <v>66</v>
      </c>
      <c r="K4" s="172" t="s">
        <v>66</v>
      </c>
      <c r="L4" s="172" t="s">
        <v>66</v>
      </c>
      <c r="M4" s="172" t="s">
        <v>66</v>
      </c>
      <c r="N4" s="172" t="s">
        <v>66</v>
      </c>
      <c r="O4" s="172" t="s">
        <v>66</v>
      </c>
      <c r="P4" s="172" t="s">
        <v>66</v>
      </c>
      <c r="Q4" s="172" t="s">
        <v>66</v>
      </c>
      <c r="R4" s="172" t="s">
        <v>66</v>
      </c>
      <c r="S4" s="172" t="s">
        <v>66</v>
      </c>
      <c r="T4" s="172" t="s">
        <v>66</v>
      </c>
      <c r="U4" s="172" t="s">
        <v>66</v>
      </c>
      <c r="V4" s="172" t="s">
        <v>66</v>
      </c>
      <c r="W4" s="172" t="s">
        <v>66</v>
      </c>
      <c r="X4" s="172" t="s">
        <v>66</v>
      </c>
      <c r="Y4" s="172" t="s">
        <v>66</v>
      </c>
      <c r="Z4" s="172" t="s">
        <v>66</v>
      </c>
      <c r="AA4" s="172" t="s">
        <v>66</v>
      </c>
      <c r="AB4" s="172" t="s">
        <v>66</v>
      </c>
      <c r="AC4" s="172" t="s">
        <v>66</v>
      </c>
      <c r="AD4" s="172" t="s">
        <v>66</v>
      </c>
      <c r="AE4" s="172" t="s">
        <v>66</v>
      </c>
      <c r="AF4" s="172" t="s">
        <v>66</v>
      </c>
      <c r="AG4" s="165"/>
      <c r="AH4" s="161"/>
    </row>
    <row r="5" spans="1:34" x14ac:dyDescent="0.2">
      <c r="A5" s="167" t="s">
        <v>1</v>
      </c>
      <c r="B5" s="334"/>
      <c r="C5" s="335"/>
      <c r="D5" s="158" t="s">
        <v>5</v>
      </c>
      <c r="E5" s="20">
        <v>1</v>
      </c>
      <c r="F5" s="119">
        <v>0.9</v>
      </c>
      <c r="G5" s="52">
        <v>0.94489069649211999</v>
      </c>
      <c r="H5" s="52">
        <v>0.96741071428571423</v>
      </c>
      <c r="I5" s="52">
        <v>0.95066666666666666</v>
      </c>
      <c r="J5" s="52">
        <v>0.97729729729729731</v>
      </c>
      <c r="K5" s="52">
        <v>0.97345132743362828</v>
      </c>
      <c r="L5" s="52">
        <v>0.98484848484848486</v>
      </c>
      <c r="M5" s="52">
        <v>0.93150684931506844</v>
      </c>
      <c r="N5" s="52">
        <v>0.9854368932038835</v>
      </c>
      <c r="O5" s="52">
        <v>0.5</v>
      </c>
      <c r="P5" s="52">
        <v>0.94545454545454544</v>
      </c>
      <c r="Q5" s="52">
        <v>0.94736842105263153</v>
      </c>
      <c r="R5" s="52">
        <v>0.97333333333333338</v>
      </c>
      <c r="S5" s="52">
        <v>1</v>
      </c>
      <c r="T5" s="52">
        <v>0.99009900990099009</v>
      </c>
      <c r="U5" s="52">
        <v>0.98639455782312924</v>
      </c>
      <c r="V5" s="52">
        <v>0.81944444444444442</v>
      </c>
      <c r="W5" s="52">
        <v>0.9859154929577465</v>
      </c>
      <c r="X5" s="52">
        <v>1</v>
      </c>
      <c r="Y5" s="52">
        <v>0.98780487804878048</v>
      </c>
      <c r="Z5" s="52">
        <v>1</v>
      </c>
      <c r="AA5" s="52">
        <v>1</v>
      </c>
      <c r="AB5" s="52">
        <v>0.98461538461538467</v>
      </c>
      <c r="AC5" s="52">
        <v>1</v>
      </c>
      <c r="AD5" s="52">
        <v>0.90833333333333333</v>
      </c>
      <c r="AE5" s="52">
        <v>1</v>
      </c>
      <c r="AF5" s="52">
        <v>0.97872340425531912</v>
      </c>
      <c r="AG5" s="170"/>
      <c r="AH5" s="153"/>
    </row>
    <row r="6" spans="1:34" x14ac:dyDescent="0.2">
      <c r="A6" s="167" t="s">
        <v>1</v>
      </c>
      <c r="B6" s="334"/>
      <c r="C6" s="335"/>
      <c r="D6" s="169" t="s">
        <v>6</v>
      </c>
      <c r="E6" s="20">
        <v>2</v>
      </c>
      <c r="F6" s="119">
        <v>0.95</v>
      </c>
      <c r="G6" s="171">
        <v>0.97943661971830986</v>
      </c>
      <c r="H6" s="171">
        <v>0.9860114777618364</v>
      </c>
      <c r="I6" s="171">
        <v>0.98439241917502784</v>
      </c>
      <c r="J6" s="171">
        <v>0.99223468507333912</v>
      </c>
      <c r="K6" s="171">
        <v>0.97814207650273222</v>
      </c>
      <c r="L6" s="171">
        <v>0.97633136094674555</v>
      </c>
      <c r="M6" s="171">
        <v>1</v>
      </c>
      <c r="N6" s="171">
        <v>0.97356828193832601</v>
      </c>
      <c r="O6" s="171">
        <v>0.93939393939393945</v>
      </c>
      <c r="P6" s="171">
        <v>0.99270072992700731</v>
      </c>
      <c r="Q6" s="171">
        <v>0.99598393574297184</v>
      </c>
      <c r="R6" s="171">
        <v>1</v>
      </c>
      <c r="S6" s="171">
        <v>0.98809523809523814</v>
      </c>
      <c r="T6" s="171">
        <v>0.98630136986301364</v>
      </c>
      <c r="U6" s="171">
        <v>0.98421052631578942</v>
      </c>
      <c r="V6" s="171">
        <v>0.99065420560747663</v>
      </c>
      <c r="W6" s="171">
        <v>1</v>
      </c>
      <c r="X6" s="171">
        <v>1</v>
      </c>
      <c r="Y6" s="171">
        <v>1</v>
      </c>
      <c r="Z6" s="171">
        <v>0.99099099099099097</v>
      </c>
      <c r="AA6" s="171">
        <v>0.98275862068965514</v>
      </c>
      <c r="AB6" s="171">
        <v>0.96590909090909094</v>
      </c>
      <c r="AC6" s="171">
        <v>0.9882352941176471</v>
      </c>
      <c r="AD6" s="171">
        <v>0.97122302158273377</v>
      </c>
      <c r="AE6" s="171">
        <v>0.98620689655172411</v>
      </c>
      <c r="AF6" s="171">
        <v>0.98449612403100772</v>
      </c>
      <c r="AG6" s="162"/>
      <c r="AH6" s="153"/>
    </row>
    <row r="7" spans="1:34" x14ac:dyDescent="0.2">
      <c r="A7" s="167" t="s">
        <v>1</v>
      </c>
      <c r="B7" s="334"/>
      <c r="C7" s="335"/>
      <c r="D7" s="158" t="s">
        <v>8</v>
      </c>
      <c r="E7" s="20">
        <v>3</v>
      </c>
      <c r="F7" s="119">
        <v>0.04</v>
      </c>
      <c r="G7" s="187">
        <v>2.2839801948570517E-2</v>
      </c>
      <c r="H7" s="187">
        <v>6.8526676456191872E-3</v>
      </c>
      <c r="I7" s="187">
        <v>6.6815144766146995E-3</v>
      </c>
      <c r="J7" s="187">
        <v>7.5362318840579709E-3</v>
      </c>
      <c r="K7" s="187">
        <v>5.9171597633136093E-3</v>
      </c>
      <c r="L7" s="187">
        <v>1.4598540145985401E-2</v>
      </c>
      <c r="M7" s="187">
        <v>9.2592592592592587E-3</v>
      </c>
      <c r="N7" s="187">
        <v>6.1162079510703364E-3</v>
      </c>
      <c r="O7" s="187">
        <v>2.4390243902439025E-2</v>
      </c>
      <c r="P7" s="187" t="s">
        <v>67</v>
      </c>
      <c r="Q7" s="187">
        <v>2.4154589371980675E-3</v>
      </c>
      <c r="R7" s="187" t="s">
        <v>67</v>
      </c>
      <c r="S7" s="187">
        <v>1.6877637130801686E-2</v>
      </c>
      <c r="T7" s="187">
        <v>8.4388185654008432E-3</v>
      </c>
      <c r="U7" s="187" t="s">
        <v>67</v>
      </c>
      <c r="V7" s="187">
        <v>2.6905829596412557E-2</v>
      </c>
      <c r="W7" s="187" t="s">
        <v>67</v>
      </c>
      <c r="X7" s="187" t="s">
        <v>67</v>
      </c>
      <c r="Y7" s="187">
        <v>8.2644628099173556E-3</v>
      </c>
      <c r="Z7" s="187" t="s">
        <v>67</v>
      </c>
      <c r="AA7" s="187" t="s">
        <v>67</v>
      </c>
      <c r="AB7" s="187">
        <v>1.9762845849802372E-2</v>
      </c>
      <c r="AC7" s="187" t="s">
        <v>67</v>
      </c>
      <c r="AD7" s="187">
        <v>5.5865921787709499E-3</v>
      </c>
      <c r="AE7" s="187" t="s">
        <v>67</v>
      </c>
      <c r="AF7" s="187" t="s">
        <v>67</v>
      </c>
      <c r="AG7" s="162"/>
      <c r="AH7" s="153"/>
    </row>
    <row r="8" spans="1:34" x14ac:dyDescent="0.2">
      <c r="A8" s="167" t="s">
        <v>1</v>
      </c>
      <c r="B8" s="334"/>
      <c r="C8" s="335"/>
      <c r="D8" s="158" t="s">
        <v>68</v>
      </c>
      <c r="E8" s="20">
        <v>4</v>
      </c>
      <c r="F8" s="119">
        <v>0.11</v>
      </c>
      <c r="G8" s="171">
        <v>0.20103284885268594</v>
      </c>
      <c r="H8" s="171">
        <v>8.4189916789035729E-2</v>
      </c>
      <c r="I8" s="171">
        <v>7.7951002227171495E-2</v>
      </c>
      <c r="J8" s="171">
        <v>9.7391304347826085E-2</v>
      </c>
      <c r="K8" s="171">
        <v>7.0019723865877709E-2</v>
      </c>
      <c r="L8" s="171">
        <v>9.8540145985401464E-2</v>
      </c>
      <c r="M8" s="171">
        <v>1.8518518518518517E-2</v>
      </c>
      <c r="N8" s="171">
        <v>0.11620795107033639</v>
      </c>
      <c r="O8" s="171">
        <v>7.3170731707317069E-2</v>
      </c>
      <c r="P8" s="171">
        <v>7.650273224043716E-2</v>
      </c>
      <c r="Q8" s="171">
        <v>5.0724637681159424E-2</v>
      </c>
      <c r="R8" s="171">
        <v>4.2105263157894736E-2</v>
      </c>
      <c r="S8" s="171">
        <v>6.7510548523206745E-2</v>
      </c>
      <c r="T8" s="171">
        <v>8.0168776371308023E-2</v>
      </c>
      <c r="U8" s="171">
        <v>0.13584905660377358</v>
      </c>
      <c r="V8" s="171">
        <v>0.16143497757847533</v>
      </c>
      <c r="W8" s="171">
        <v>5.3497942386831275E-2</v>
      </c>
      <c r="X8" s="171">
        <v>0.12587412587412589</v>
      </c>
      <c r="Y8" s="171">
        <v>9.9173553719008267E-2</v>
      </c>
      <c r="Z8" s="171">
        <v>8.6956521739130432E-2</v>
      </c>
      <c r="AA8" s="171">
        <v>9.5238095238095233E-2</v>
      </c>
      <c r="AB8" s="171">
        <v>0.11462450592885376</v>
      </c>
      <c r="AC8" s="171">
        <v>1.5151515151515152E-2</v>
      </c>
      <c r="AD8" s="171">
        <v>8.3798882681564241E-2</v>
      </c>
      <c r="AE8" s="171">
        <v>3.2258064516129031E-2</v>
      </c>
      <c r="AF8" s="171">
        <v>6.1111111111111109E-2</v>
      </c>
      <c r="AG8" s="171"/>
      <c r="AH8" s="153"/>
    </row>
    <row r="9" spans="1:34" x14ac:dyDescent="0.2">
      <c r="A9" s="167" t="s">
        <v>1</v>
      </c>
      <c r="B9" s="334"/>
      <c r="C9" s="335"/>
      <c r="D9" s="158" t="s">
        <v>9</v>
      </c>
      <c r="E9" s="20">
        <v>5</v>
      </c>
      <c r="F9" s="119">
        <v>0.9</v>
      </c>
      <c r="G9" s="52">
        <v>0.8675520459440057</v>
      </c>
      <c r="H9" s="52">
        <v>0.92088382038488947</v>
      </c>
      <c r="I9" s="52">
        <v>0.90680628272251307</v>
      </c>
      <c r="J9" s="52">
        <v>0.92933810375670844</v>
      </c>
      <c r="K9" s="52">
        <v>0.92633015006821284</v>
      </c>
      <c r="L9" s="52">
        <v>0.88043478260869568</v>
      </c>
      <c r="M9" s="52">
        <v>0.91549295774647887</v>
      </c>
      <c r="N9" s="52">
        <v>0.92567567567567566</v>
      </c>
      <c r="O9" s="52">
        <v>0.76</v>
      </c>
      <c r="P9" s="52">
        <v>0.9652173913043478</v>
      </c>
      <c r="Q9" s="52">
        <v>0.89015151515151514</v>
      </c>
      <c r="R9" s="52">
        <v>0.92207792207792205</v>
      </c>
      <c r="S9" s="52">
        <v>0.92672413793103448</v>
      </c>
      <c r="T9" s="52">
        <v>0.96581196581196582</v>
      </c>
      <c r="U9" s="52">
        <v>0.89583333333333337</v>
      </c>
      <c r="V9" s="52">
        <v>0.93023255813953487</v>
      </c>
      <c r="W9" s="52">
        <v>0.95495495495495497</v>
      </c>
      <c r="X9" s="52">
        <v>0.92</v>
      </c>
      <c r="Y9" s="52">
        <v>0.92045454545454541</v>
      </c>
      <c r="Z9" s="52">
        <v>0.94782608695652171</v>
      </c>
      <c r="AA9" s="52">
        <v>0.90740740740740744</v>
      </c>
      <c r="AB9" s="52">
        <v>0.91712707182320441</v>
      </c>
      <c r="AC9" s="52">
        <v>0.99047619047619051</v>
      </c>
      <c r="AD9" s="52">
        <v>0.92481203007518797</v>
      </c>
      <c r="AE9" s="52">
        <v>0.94074074074074077</v>
      </c>
      <c r="AF9" s="52">
        <v>0.88</v>
      </c>
      <c r="AG9" s="162"/>
      <c r="AH9" s="153"/>
    </row>
    <row r="10" spans="1:34" x14ac:dyDescent="0.2">
      <c r="A10" s="179" t="s">
        <v>2</v>
      </c>
      <c r="B10" s="334"/>
      <c r="C10" s="335"/>
      <c r="D10" s="158" t="s">
        <v>10</v>
      </c>
      <c r="E10" s="20">
        <v>6</v>
      </c>
      <c r="F10" s="119">
        <v>0.7</v>
      </c>
      <c r="G10" s="186" t="s">
        <v>66</v>
      </c>
      <c r="H10" s="186" t="s">
        <v>66</v>
      </c>
      <c r="I10" s="186" t="s">
        <v>66</v>
      </c>
      <c r="J10" s="186" t="s">
        <v>66</v>
      </c>
      <c r="K10" s="186" t="s">
        <v>66</v>
      </c>
      <c r="L10" s="186" t="s">
        <v>66</v>
      </c>
      <c r="M10" s="186" t="s">
        <v>66</v>
      </c>
      <c r="N10" s="186" t="s">
        <v>66</v>
      </c>
      <c r="O10" s="186" t="s">
        <v>66</v>
      </c>
      <c r="P10" s="186" t="s">
        <v>66</v>
      </c>
      <c r="Q10" s="186" t="s">
        <v>66</v>
      </c>
      <c r="R10" s="186" t="s">
        <v>66</v>
      </c>
      <c r="S10" s="186" t="s">
        <v>66</v>
      </c>
      <c r="T10" s="186" t="s">
        <v>66</v>
      </c>
      <c r="U10" s="186" t="s">
        <v>66</v>
      </c>
      <c r="V10" s="186" t="s">
        <v>66</v>
      </c>
      <c r="W10" s="186" t="s">
        <v>66</v>
      </c>
      <c r="X10" s="186" t="s">
        <v>66</v>
      </c>
      <c r="Y10" s="186" t="s">
        <v>66</v>
      </c>
      <c r="Z10" s="186" t="s">
        <v>66</v>
      </c>
      <c r="AA10" s="186" t="s">
        <v>66</v>
      </c>
      <c r="AB10" s="186" t="s">
        <v>66</v>
      </c>
      <c r="AC10" s="186" t="s">
        <v>66</v>
      </c>
      <c r="AD10" s="186" t="s">
        <v>66</v>
      </c>
      <c r="AE10" s="186" t="s">
        <v>66</v>
      </c>
      <c r="AF10" s="186" t="s">
        <v>66</v>
      </c>
      <c r="AG10" s="162"/>
      <c r="AH10" s="153"/>
    </row>
    <row r="11" spans="1:34" x14ac:dyDescent="0.2">
      <c r="A11" s="179" t="s">
        <v>2</v>
      </c>
      <c r="B11" s="334" t="s">
        <v>70</v>
      </c>
      <c r="C11" s="335" t="s">
        <v>71</v>
      </c>
      <c r="D11" s="158" t="s">
        <v>72</v>
      </c>
      <c r="E11" s="20">
        <v>7</v>
      </c>
      <c r="F11" s="159">
        <v>0.28000000000000003</v>
      </c>
      <c r="G11" s="182">
        <v>0.29234119001555814</v>
      </c>
      <c r="H11" s="182">
        <v>0.2373483377317466</v>
      </c>
      <c r="I11" s="182">
        <v>0.26714867965586381</v>
      </c>
      <c r="J11" s="182">
        <v>0.23933395925209619</v>
      </c>
      <c r="K11" s="182">
        <v>0.21049525755983822</v>
      </c>
      <c r="L11" s="182">
        <v>0.28113348247576436</v>
      </c>
      <c r="M11" s="182">
        <v>0.30171836643606337</v>
      </c>
      <c r="N11" s="182">
        <v>0.16683350016683351</v>
      </c>
      <c r="O11" s="182">
        <v>0.48130671506352091</v>
      </c>
      <c r="P11" s="182">
        <v>0.3381653042688465</v>
      </c>
      <c r="Q11" s="182">
        <v>0.2336644095635062</v>
      </c>
      <c r="R11" s="182">
        <v>0.26694668066736671</v>
      </c>
      <c r="S11" s="182">
        <v>0.20165368320349869</v>
      </c>
      <c r="T11" s="182">
        <v>0.181424883120508</v>
      </c>
      <c r="U11" s="182">
        <v>0.1846724389898958</v>
      </c>
      <c r="V11" s="182">
        <v>0.3952280161631711</v>
      </c>
      <c r="W11" s="182">
        <v>0.25263893743446347</v>
      </c>
      <c r="X11" s="182">
        <v>0.21874434593812195</v>
      </c>
      <c r="Y11" s="182">
        <v>0.25162280184114244</v>
      </c>
      <c r="Z11" s="182">
        <v>0.27185100473778795</v>
      </c>
      <c r="AA11" s="182">
        <v>0.233669443226655</v>
      </c>
      <c r="AB11" s="182">
        <v>0.22959218065385914</v>
      </c>
      <c r="AC11" s="182">
        <v>0.1443722583152868</v>
      </c>
      <c r="AD11" s="182">
        <v>0.19771863117870722</v>
      </c>
      <c r="AE11" s="182">
        <v>0.23000151217299258</v>
      </c>
      <c r="AF11" s="182">
        <v>0.21454256406374198</v>
      </c>
      <c r="AG11" s="162"/>
      <c r="AH11" s="153"/>
    </row>
    <row r="12" spans="1:34" x14ac:dyDescent="0.2">
      <c r="A12" s="179" t="s">
        <v>2</v>
      </c>
      <c r="B12" s="334"/>
      <c r="C12" s="335"/>
      <c r="D12" s="158" t="s">
        <v>92</v>
      </c>
      <c r="E12" s="20">
        <v>8</v>
      </c>
      <c r="F12" s="159">
        <v>6.9000000000000006E-2</v>
      </c>
      <c r="G12" s="177">
        <v>7.8991374454059071E-2</v>
      </c>
      <c r="H12" s="177">
        <v>7.2807373210699411E-2</v>
      </c>
      <c r="I12" s="177">
        <v>9.0114200225504856E-2</v>
      </c>
      <c r="J12" s="177">
        <v>7.9161940190204269E-2</v>
      </c>
      <c r="K12" s="177">
        <v>5.089307560557866E-2</v>
      </c>
      <c r="L12" s="177">
        <v>0.21768015727747272</v>
      </c>
      <c r="M12" s="177">
        <v>6.1890946961243774E-2</v>
      </c>
      <c r="N12" s="177">
        <v>0</v>
      </c>
      <c r="O12" s="177">
        <v>4.7186932849364784E-3</v>
      </c>
      <c r="P12" s="177">
        <v>6.8010899182561313E-2</v>
      </c>
      <c r="Q12" s="177">
        <v>6.3653408122472388E-2</v>
      </c>
      <c r="R12" s="177">
        <v>0.10617197526542994</v>
      </c>
      <c r="S12" s="177">
        <v>7.2844061773951085E-2</v>
      </c>
      <c r="T12" s="177">
        <v>0.14513990649640637</v>
      </c>
      <c r="U12" s="177">
        <v>2.8599714002859968E-2</v>
      </c>
      <c r="V12" s="177">
        <v>9.338721057020076E-2</v>
      </c>
      <c r="W12" s="177">
        <v>2.9080740999650474E-2</v>
      </c>
      <c r="X12" s="177">
        <v>6.8210602496833722E-2</v>
      </c>
      <c r="Y12" s="177">
        <v>0.1626342499704945</v>
      </c>
      <c r="Z12" s="177">
        <v>5.6635625987039161E-2</v>
      </c>
      <c r="AA12" s="177">
        <v>3.6095279848019871E-2</v>
      </c>
      <c r="AB12" s="177">
        <v>5.1702055948769803E-2</v>
      </c>
      <c r="AC12" s="177">
        <v>3.1761896829363097E-2</v>
      </c>
      <c r="AD12" s="177">
        <v>3.1550845400857536E-2</v>
      </c>
      <c r="AE12" s="177">
        <v>9.3376682292454258E-2</v>
      </c>
      <c r="AF12" s="177">
        <v>4.6254589499981076E-2</v>
      </c>
      <c r="AG12" s="162"/>
      <c r="AH12" s="153"/>
    </row>
    <row r="13" spans="1:34" x14ac:dyDescent="0.2">
      <c r="A13" s="184" t="s">
        <v>2</v>
      </c>
      <c r="B13" s="334"/>
      <c r="C13" s="335" t="s">
        <v>77</v>
      </c>
      <c r="D13" s="158" t="s">
        <v>13</v>
      </c>
      <c r="E13" s="20">
        <v>9</v>
      </c>
      <c r="F13" s="119">
        <v>0.95</v>
      </c>
      <c r="G13" s="173">
        <v>0.98118576403635438</v>
      </c>
      <c r="H13" s="173">
        <v>0.98903859328613841</v>
      </c>
      <c r="I13" s="173">
        <v>0.98842750170183802</v>
      </c>
      <c r="J13" s="173">
        <v>0.9893554109994086</v>
      </c>
      <c r="K13" s="173">
        <v>0.98933552091878585</v>
      </c>
      <c r="L13" s="173">
        <v>0.99392097264437695</v>
      </c>
      <c r="M13" s="173">
        <v>0.9838709677419355</v>
      </c>
      <c r="N13" s="173">
        <v>0.96</v>
      </c>
      <c r="O13" s="173">
        <v>0.99065420560747663</v>
      </c>
      <c r="P13" s="173">
        <v>0.99038461538461542</v>
      </c>
      <c r="Q13" s="173">
        <v>0.99789915966386555</v>
      </c>
      <c r="R13" s="173">
        <v>0.98913043478260865</v>
      </c>
      <c r="S13" s="173">
        <v>0.99598393574297184</v>
      </c>
      <c r="T13" s="173">
        <v>1</v>
      </c>
      <c r="U13" s="173">
        <v>1</v>
      </c>
      <c r="V13" s="173">
        <v>0.95486111111111116</v>
      </c>
      <c r="W13" s="173">
        <v>1</v>
      </c>
      <c r="X13" s="173">
        <v>1</v>
      </c>
      <c r="Y13" s="173">
        <v>1</v>
      </c>
      <c r="Z13" s="173">
        <v>0.99029126213592233</v>
      </c>
      <c r="AA13" s="173">
        <v>0.98449612403100772</v>
      </c>
      <c r="AB13" s="173">
        <v>0.97899159663865543</v>
      </c>
      <c r="AC13" s="173">
        <v>1</v>
      </c>
      <c r="AD13" s="173">
        <v>1</v>
      </c>
      <c r="AE13" s="173">
        <v>0.97665369649805445</v>
      </c>
      <c r="AF13" s="173">
        <v>1</v>
      </c>
      <c r="AG13" s="168"/>
      <c r="AH13" s="153"/>
    </row>
    <row r="14" spans="1:34" x14ac:dyDescent="0.2">
      <c r="A14" s="179" t="s">
        <v>2</v>
      </c>
      <c r="B14" s="334"/>
      <c r="C14" s="335"/>
      <c r="D14" s="158" t="s">
        <v>79</v>
      </c>
      <c r="E14" s="20">
        <v>10</v>
      </c>
      <c r="F14" s="119">
        <v>0.8</v>
      </c>
      <c r="G14" s="181">
        <v>0.88950855417645081</v>
      </c>
      <c r="H14" s="181">
        <v>0.89717647058823524</v>
      </c>
      <c r="I14" s="181">
        <v>0.82496194824961944</v>
      </c>
      <c r="J14" s="181">
        <v>0.91774647887323946</v>
      </c>
      <c r="K14" s="181">
        <v>0.94745908699397074</v>
      </c>
      <c r="L14" s="181">
        <v>0.64329896907216499</v>
      </c>
      <c r="M14" s="181">
        <v>0.84177215189873422</v>
      </c>
      <c r="N14" s="181">
        <v>0.92307692307692313</v>
      </c>
      <c r="O14" s="181">
        <v>0.96103896103896103</v>
      </c>
      <c r="P14" s="181">
        <v>0.94117647058823528</v>
      </c>
      <c r="Q14" s="181">
        <v>0.96439169139465875</v>
      </c>
      <c r="R14" s="181">
        <v>0.97716894977168944</v>
      </c>
      <c r="S14" s="181">
        <v>0.90977443609022557</v>
      </c>
      <c r="T14" s="181">
        <v>0.98882681564245811</v>
      </c>
      <c r="U14" s="181">
        <v>0.96652719665271969</v>
      </c>
      <c r="V14" s="181">
        <v>0.76237623762376239</v>
      </c>
      <c r="W14" s="181">
        <v>0.98611111111111116</v>
      </c>
      <c r="X14" s="181">
        <v>0.88073394495412849</v>
      </c>
      <c r="Y14" s="181">
        <v>0.90322580645161288</v>
      </c>
      <c r="Z14" s="181">
        <v>0.88500000000000001</v>
      </c>
      <c r="AA14" s="181">
        <v>0.97029702970297027</v>
      </c>
      <c r="AB14" s="181">
        <v>0.90308370044052866</v>
      </c>
      <c r="AC14" s="181">
        <v>0.9907407407407407</v>
      </c>
      <c r="AD14" s="181">
        <v>0.97014925373134331</v>
      </c>
      <c r="AE14" s="181">
        <v>0.92418772563176899</v>
      </c>
      <c r="AF14" s="181">
        <v>0.96761133603238869</v>
      </c>
      <c r="AG14" s="174"/>
      <c r="AH14" s="174"/>
    </row>
    <row r="15" spans="1:34" x14ac:dyDescent="0.2">
      <c r="A15" s="184" t="s">
        <v>2</v>
      </c>
      <c r="B15" s="334"/>
      <c r="C15" s="335"/>
      <c r="D15" s="158" t="s">
        <v>93</v>
      </c>
      <c r="E15" s="20">
        <v>11</v>
      </c>
      <c r="F15" s="119">
        <v>0.8</v>
      </c>
      <c r="G15" s="52">
        <v>0.9204025100344847</v>
      </c>
      <c r="H15" s="52">
        <v>0.95829260345389378</v>
      </c>
      <c r="I15" s="52">
        <v>0.9597388465723613</v>
      </c>
      <c r="J15" s="52">
        <v>0.96114195083267251</v>
      </c>
      <c r="K15" s="52">
        <v>0.952755905511811</v>
      </c>
      <c r="L15" s="52">
        <v>0.97058823529411764</v>
      </c>
      <c r="M15" s="52">
        <v>0.94444444444444442</v>
      </c>
      <c r="N15" s="52">
        <v>0.92307692307692313</v>
      </c>
      <c r="O15" s="52">
        <v>0.96052631578947367</v>
      </c>
      <c r="P15" s="52">
        <v>0.94017094017094016</v>
      </c>
      <c r="Q15" s="52">
        <v>0.98062015503875966</v>
      </c>
      <c r="R15" s="52">
        <v>0.97315436241610742</v>
      </c>
      <c r="S15" s="52">
        <v>0.98369565217391308</v>
      </c>
      <c r="T15" s="52">
        <v>0.97979797979797978</v>
      </c>
      <c r="U15" s="52">
        <v>0.97549019607843135</v>
      </c>
      <c r="V15" s="52">
        <v>0.85616438356164382</v>
      </c>
      <c r="W15" s="52">
        <v>0.9921875</v>
      </c>
      <c r="X15" s="52">
        <v>0.97499999999999998</v>
      </c>
      <c r="Y15" s="52">
        <v>0.94594594594594594</v>
      </c>
      <c r="Z15" s="52">
        <v>0.96875</v>
      </c>
      <c r="AA15" s="52">
        <v>0.96341463414634143</v>
      </c>
      <c r="AB15" s="52">
        <v>0.86904761904761907</v>
      </c>
      <c r="AC15" s="52">
        <v>0.98837209302325579</v>
      </c>
      <c r="AD15" s="52">
        <v>0.99415204678362568</v>
      </c>
      <c r="AE15" s="52">
        <v>0.96153846153846156</v>
      </c>
      <c r="AF15" s="52">
        <v>0.96</v>
      </c>
      <c r="AG15" s="168"/>
      <c r="AH15" s="153"/>
    </row>
    <row r="16" spans="1:34" x14ac:dyDescent="0.2">
      <c r="A16" s="179" t="s">
        <v>2</v>
      </c>
      <c r="B16" s="334"/>
      <c r="C16" s="335"/>
      <c r="D16" s="158" t="s">
        <v>94</v>
      </c>
      <c r="E16" s="20">
        <v>12</v>
      </c>
      <c r="F16" s="119">
        <v>0.8</v>
      </c>
      <c r="G16" s="168">
        <v>0.81685338528981977</v>
      </c>
      <c r="H16" s="168">
        <v>0.75783234546994072</v>
      </c>
      <c r="I16" s="168">
        <v>0.53670886075949364</v>
      </c>
      <c r="J16" s="168">
        <v>0.83268482490272377</v>
      </c>
      <c r="K16" s="168">
        <v>0.9375</v>
      </c>
      <c r="L16" s="168">
        <v>0.36032388663967613</v>
      </c>
      <c r="M16" s="168">
        <v>0.4375</v>
      </c>
      <c r="N16" s="168">
        <v>0</v>
      </c>
      <c r="O16" s="168">
        <v>1</v>
      </c>
      <c r="P16" s="168">
        <v>0.97222222222222221</v>
      </c>
      <c r="Q16" s="168">
        <v>0.92405063291139244</v>
      </c>
      <c r="R16" s="168">
        <v>0.98571428571428577</v>
      </c>
      <c r="S16" s="168">
        <v>0.74390243902439024</v>
      </c>
      <c r="T16" s="168">
        <v>1</v>
      </c>
      <c r="U16" s="168">
        <v>0.91428571428571426</v>
      </c>
      <c r="V16" s="168">
        <v>0.5357142857142857</v>
      </c>
      <c r="W16" s="168">
        <v>0.9375</v>
      </c>
      <c r="X16" s="168">
        <v>0.72413793103448276</v>
      </c>
      <c r="Y16" s="168">
        <v>0.89622641509433965</v>
      </c>
      <c r="Z16" s="168">
        <v>0.625</v>
      </c>
      <c r="AA16" s="168">
        <v>1</v>
      </c>
      <c r="AB16" s="168">
        <v>1</v>
      </c>
      <c r="AC16" s="168">
        <v>1</v>
      </c>
      <c r="AD16" s="168">
        <v>0.8666666666666667</v>
      </c>
      <c r="AE16" s="168">
        <v>0.86315789473684212</v>
      </c>
      <c r="AF16" s="168">
        <v>1</v>
      </c>
      <c r="AG16" s="168"/>
      <c r="AH16" s="168"/>
    </row>
    <row r="17" spans="1:40" x14ac:dyDescent="0.2">
      <c r="A17" s="179" t="s">
        <v>2</v>
      </c>
      <c r="B17" s="334"/>
      <c r="C17" s="178"/>
      <c r="D17" s="158" t="s">
        <v>17</v>
      </c>
      <c r="E17" s="20">
        <v>13</v>
      </c>
      <c r="F17" s="119">
        <v>0.9</v>
      </c>
      <c r="G17" s="175">
        <v>0.85860979462875198</v>
      </c>
      <c r="H17" s="175">
        <v>0.89039312678989846</v>
      </c>
      <c r="I17" s="175">
        <v>0.87308347529812602</v>
      </c>
      <c r="J17" s="175">
        <v>0.88543689320388352</v>
      </c>
      <c r="K17" s="175">
        <v>0.9153297682709447</v>
      </c>
      <c r="L17" s="175">
        <v>0.89968652037617558</v>
      </c>
      <c r="M17" s="175">
        <v>0.88461538461538458</v>
      </c>
      <c r="N17" s="175">
        <v>0.74399999999999999</v>
      </c>
      <c r="O17" s="175">
        <v>0.84313725490196079</v>
      </c>
      <c r="P17" s="175">
        <v>0.84065934065934067</v>
      </c>
      <c r="Q17" s="175">
        <v>0.92413793103448272</v>
      </c>
      <c r="R17" s="175">
        <v>0.87428571428571433</v>
      </c>
      <c r="S17" s="175">
        <v>0.87665198237885467</v>
      </c>
      <c r="T17" s="175">
        <v>0.85</v>
      </c>
      <c r="U17" s="175">
        <v>0.95132743362831862</v>
      </c>
      <c r="V17" s="175">
        <v>0.84033613445378152</v>
      </c>
      <c r="W17" s="175">
        <v>0.91176470588235292</v>
      </c>
      <c r="X17" s="175">
        <v>0.89010989010989006</v>
      </c>
      <c r="Y17" s="175">
        <v>0.87421383647798745</v>
      </c>
      <c r="Z17" s="175">
        <v>0.89119170984455964</v>
      </c>
      <c r="AA17" s="175">
        <v>0.93965517241379315</v>
      </c>
      <c r="AB17" s="175">
        <v>0.89230769230769225</v>
      </c>
      <c r="AC17" s="175">
        <v>0.94897959183673475</v>
      </c>
      <c r="AD17" s="175">
        <v>0.95454545454545459</v>
      </c>
      <c r="AE17" s="175">
        <v>0.86956521739130432</v>
      </c>
      <c r="AF17" s="175">
        <v>0.92727272727272725</v>
      </c>
      <c r="AG17" s="162"/>
      <c r="AH17" s="153"/>
    </row>
    <row r="18" spans="1:40" x14ac:dyDescent="0.2">
      <c r="A18" s="179" t="s">
        <v>2</v>
      </c>
      <c r="B18" s="334"/>
      <c r="C18" s="334" t="s">
        <v>83</v>
      </c>
      <c r="D18" s="118" t="s">
        <v>18</v>
      </c>
      <c r="E18" s="20">
        <v>14</v>
      </c>
      <c r="F18" s="119">
        <v>0.86</v>
      </c>
      <c r="G18" s="176">
        <v>0.87751337391625162</v>
      </c>
      <c r="H18" s="176">
        <v>0.87929433611884866</v>
      </c>
      <c r="I18" s="176">
        <v>0.90625</v>
      </c>
      <c r="J18" s="176">
        <v>0.87090163934426235</v>
      </c>
      <c r="K18" s="176">
        <v>0.86710963455149503</v>
      </c>
      <c r="L18" s="176">
        <v>0.91228070175438591</v>
      </c>
      <c r="M18" s="176">
        <v>0.97058823529411764</v>
      </c>
      <c r="N18" s="176">
        <v>0.91891891891891897</v>
      </c>
      <c r="O18" s="176">
        <v>0.8571428571428571</v>
      </c>
      <c r="P18" s="176">
        <v>0.91489361702127658</v>
      </c>
      <c r="Q18" s="176">
        <v>0.85507246376811596</v>
      </c>
      <c r="R18" s="176">
        <v>0.84375</v>
      </c>
      <c r="S18" s="176">
        <v>0.890625</v>
      </c>
      <c r="T18" s="176">
        <v>0.8125</v>
      </c>
      <c r="U18" s="176">
        <v>0.8441558441558441</v>
      </c>
      <c r="V18" s="176">
        <v>0.8571428571428571</v>
      </c>
      <c r="W18" s="176">
        <v>0.90909090909090906</v>
      </c>
      <c r="X18" s="176">
        <v>0.9242424242424242</v>
      </c>
      <c r="Y18" s="176">
        <v>0.92063492063492058</v>
      </c>
      <c r="Z18" s="176">
        <v>0.79411764705882348</v>
      </c>
      <c r="AA18" s="176">
        <v>0.77777777777777779</v>
      </c>
      <c r="AB18" s="176">
        <v>0.89610389610389607</v>
      </c>
      <c r="AC18" s="176">
        <v>0.75</v>
      </c>
      <c r="AD18" s="176">
        <v>0.92307692307692313</v>
      </c>
      <c r="AE18" s="176">
        <v>0.91666666666666663</v>
      </c>
      <c r="AF18" s="176">
        <v>0.82692307692307687</v>
      </c>
      <c r="AG18" s="166"/>
      <c r="AH18" s="154"/>
      <c r="AI18" s="164"/>
      <c r="AJ18" s="164"/>
      <c r="AK18" s="164"/>
      <c r="AL18" s="164"/>
      <c r="AM18" s="164"/>
      <c r="AN18" s="164"/>
    </row>
    <row r="19" spans="1:40" x14ac:dyDescent="0.2">
      <c r="A19" s="179" t="s">
        <v>2</v>
      </c>
      <c r="B19" s="334"/>
      <c r="C19" s="334"/>
      <c r="D19" s="118" t="s">
        <v>19</v>
      </c>
      <c r="E19" s="20">
        <v>15</v>
      </c>
      <c r="F19" s="119">
        <v>0.75</v>
      </c>
      <c r="G19" s="176">
        <v>0.77762403637082422</v>
      </c>
      <c r="H19" s="176">
        <v>0.84578079534432593</v>
      </c>
      <c r="I19" s="176">
        <v>0.83768115942028987</v>
      </c>
      <c r="J19" s="176">
        <v>0.88787185354691078</v>
      </c>
      <c r="K19" s="176">
        <v>0.7831325301204819</v>
      </c>
      <c r="L19" s="176">
        <v>0.88235294117647056</v>
      </c>
      <c r="M19" s="176">
        <v>0.73333333333333328</v>
      </c>
      <c r="N19" s="176">
        <v>0.7142857142857143</v>
      </c>
      <c r="O19" s="176">
        <v>0.73913043478260865</v>
      </c>
      <c r="P19" s="176">
        <v>0.98076923076923073</v>
      </c>
      <c r="Q19" s="176">
        <v>0.82291666666666663</v>
      </c>
      <c r="R19" s="176">
        <v>0.92727272727272725</v>
      </c>
      <c r="S19" s="176">
        <v>0.98461538461538467</v>
      </c>
      <c r="T19" s="176">
        <v>0.90476190476190477</v>
      </c>
      <c r="U19" s="176">
        <v>0.91860465116279066</v>
      </c>
      <c r="V19" s="176">
        <v>0.77192982456140347</v>
      </c>
      <c r="W19" s="176">
        <v>0.80701754385964908</v>
      </c>
      <c r="X19" s="176">
        <v>0.96</v>
      </c>
      <c r="Y19" s="176">
        <v>0.8571428571428571</v>
      </c>
      <c r="Z19" s="176">
        <v>0.86111111111111116</v>
      </c>
      <c r="AA19" s="176">
        <v>0.88095238095238093</v>
      </c>
      <c r="AB19" s="176">
        <v>0.57999999999999996</v>
      </c>
      <c r="AC19" s="176">
        <v>0.90476190476190477</v>
      </c>
      <c r="AD19" s="176">
        <v>0.81395348837209303</v>
      </c>
      <c r="AE19" s="176">
        <v>0.78260869565217395</v>
      </c>
      <c r="AF19" s="176">
        <v>0.82978723404255317</v>
      </c>
      <c r="AG19" s="176"/>
      <c r="AH19" s="153"/>
    </row>
    <row r="20" spans="1:40" x14ac:dyDescent="0.2">
      <c r="A20" s="185" t="s">
        <v>3</v>
      </c>
      <c r="B20" s="153"/>
      <c r="C20" s="331" t="s">
        <v>84</v>
      </c>
      <c r="D20" s="180" t="s">
        <v>95</v>
      </c>
      <c r="E20" s="20">
        <v>16</v>
      </c>
      <c r="F20" s="119">
        <v>0.85</v>
      </c>
      <c r="G20" s="183">
        <v>0.8152866242038217</v>
      </c>
      <c r="H20" s="183">
        <v>0.91666666666666663</v>
      </c>
      <c r="I20" s="183">
        <v>0.8</v>
      </c>
      <c r="J20" s="183">
        <v>1</v>
      </c>
      <c r="K20" s="183">
        <v>1</v>
      </c>
      <c r="L20" s="183">
        <v>0.5</v>
      </c>
      <c r="M20" s="183">
        <v>1</v>
      </c>
      <c r="N20" s="183">
        <v>1</v>
      </c>
      <c r="O20" s="183"/>
      <c r="P20" s="183">
        <v>1</v>
      </c>
      <c r="Q20" s="183">
        <v>0.83333333333333337</v>
      </c>
      <c r="R20" s="183">
        <v>1</v>
      </c>
      <c r="S20" s="183"/>
      <c r="T20" s="183">
        <v>1</v>
      </c>
      <c r="U20" s="183">
        <v>1</v>
      </c>
      <c r="V20" s="183">
        <v>1</v>
      </c>
      <c r="W20" s="183">
        <v>1</v>
      </c>
      <c r="X20" s="183">
        <v>1</v>
      </c>
      <c r="Y20" s="183"/>
      <c r="Z20" s="183">
        <v>1</v>
      </c>
      <c r="AA20" s="183">
        <v>1</v>
      </c>
      <c r="AB20" s="183"/>
      <c r="AC20" s="183"/>
      <c r="AD20" s="183">
        <v>1</v>
      </c>
      <c r="AE20" s="183">
        <v>1</v>
      </c>
      <c r="AF20" s="183">
        <v>1</v>
      </c>
      <c r="AG20" s="176"/>
      <c r="AH20" s="153"/>
    </row>
    <row r="21" spans="1:40" x14ac:dyDescent="0.2">
      <c r="A21" s="185" t="s">
        <v>3</v>
      </c>
      <c r="B21" s="153"/>
      <c r="C21" s="332"/>
      <c r="D21" s="180" t="s">
        <v>96</v>
      </c>
      <c r="E21" s="20">
        <v>17</v>
      </c>
      <c r="F21" s="119">
        <v>0.95</v>
      </c>
      <c r="G21" s="173">
        <v>0.98</v>
      </c>
      <c r="H21" s="173">
        <v>0.92307692307692313</v>
      </c>
      <c r="I21" s="173">
        <v>1</v>
      </c>
      <c r="J21" s="173">
        <v>0.75</v>
      </c>
      <c r="K21" s="173">
        <v>1</v>
      </c>
      <c r="L21" s="173"/>
      <c r="M21" s="173">
        <v>1</v>
      </c>
      <c r="N21" s="173"/>
      <c r="O21" s="173"/>
      <c r="P21" s="173"/>
      <c r="Q21" s="173">
        <v>1</v>
      </c>
      <c r="R21" s="173"/>
      <c r="S21" s="173">
        <v>1</v>
      </c>
      <c r="T21" s="173"/>
      <c r="U21" s="173">
        <v>1</v>
      </c>
      <c r="V21" s="173"/>
      <c r="W21" s="173"/>
      <c r="X21" s="173">
        <v>1</v>
      </c>
      <c r="Y21" s="173">
        <v>0</v>
      </c>
      <c r="Z21" s="173"/>
      <c r="AA21" s="173">
        <v>1</v>
      </c>
      <c r="AB21" s="173"/>
      <c r="AC21" s="173">
        <v>1</v>
      </c>
      <c r="AD21" s="173"/>
      <c r="AE21" s="173"/>
      <c r="AF21" s="173"/>
      <c r="AG21" s="176"/>
      <c r="AH21" s="153"/>
    </row>
    <row r="22" spans="1:40" x14ac:dyDescent="0.2">
      <c r="A22" s="185" t="s">
        <v>3</v>
      </c>
      <c r="B22" s="153"/>
      <c r="C22" s="332"/>
      <c r="D22" s="180" t="s">
        <v>97</v>
      </c>
      <c r="E22" s="20">
        <v>18</v>
      </c>
      <c r="F22" s="119">
        <v>0.77</v>
      </c>
      <c r="G22" s="173">
        <v>0.89351851851851849</v>
      </c>
      <c r="H22" s="173">
        <v>0.92105263157894735</v>
      </c>
      <c r="I22" s="173">
        <v>1</v>
      </c>
      <c r="J22" s="173">
        <v>0.85</v>
      </c>
      <c r="K22" s="173">
        <v>1</v>
      </c>
      <c r="L22" s="173">
        <v>1</v>
      </c>
      <c r="M22" s="173">
        <v>1</v>
      </c>
      <c r="N22" s="173">
        <v>1</v>
      </c>
      <c r="O22" s="173">
        <v>1</v>
      </c>
      <c r="P22" s="173"/>
      <c r="Q22" s="173">
        <v>1</v>
      </c>
      <c r="R22" s="173">
        <v>1</v>
      </c>
      <c r="S22" s="173"/>
      <c r="T22" s="173">
        <v>0.5</v>
      </c>
      <c r="U22" s="173">
        <v>0.8</v>
      </c>
      <c r="V22" s="173">
        <v>1</v>
      </c>
      <c r="W22" s="173">
        <v>1</v>
      </c>
      <c r="X22" s="173"/>
      <c r="Y22" s="173">
        <v>1</v>
      </c>
      <c r="Z22" s="173"/>
      <c r="AA22" s="173">
        <v>1</v>
      </c>
      <c r="AB22" s="173">
        <v>1</v>
      </c>
      <c r="AC22" s="173">
        <v>1</v>
      </c>
      <c r="AD22" s="173"/>
      <c r="AE22" s="173"/>
      <c r="AF22" s="173"/>
      <c r="AG22" s="176"/>
      <c r="AH22" s="153"/>
    </row>
    <row r="23" spans="1:40" x14ac:dyDescent="0.2">
      <c r="A23" s="185" t="s">
        <v>3</v>
      </c>
      <c r="B23" s="153"/>
      <c r="C23" s="333"/>
      <c r="D23" s="180" t="s">
        <v>98</v>
      </c>
      <c r="E23" s="20">
        <v>19</v>
      </c>
      <c r="F23" s="119">
        <v>0.95</v>
      </c>
      <c r="G23" s="173">
        <v>0.88278388278388276</v>
      </c>
      <c r="H23" s="173">
        <v>0.91836734693877553</v>
      </c>
      <c r="I23" s="173">
        <v>1</v>
      </c>
      <c r="J23" s="173">
        <v>0.875</v>
      </c>
      <c r="K23" s="173">
        <v>0.94117647058823528</v>
      </c>
      <c r="L23" s="173">
        <v>1</v>
      </c>
      <c r="M23" s="173">
        <v>1</v>
      </c>
      <c r="N23" s="173">
        <v>1</v>
      </c>
      <c r="O23" s="173">
        <v>1</v>
      </c>
      <c r="P23" s="173"/>
      <c r="Q23" s="173">
        <v>1</v>
      </c>
      <c r="R23" s="173">
        <v>1</v>
      </c>
      <c r="S23" s="173"/>
      <c r="T23" s="173">
        <v>0.66666666666666663</v>
      </c>
      <c r="U23" s="173">
        <v>0.8</v>
      </c>
      <c r="V23" s="173">
        <v>1</v>
      </c>
      <c r="W23" s="173">
        <v>1</v>
      </c>
      <c r="X23" s="173"/>
      <c r="Y23" s="173">
        <v>1</v>
      </c>
      <c r="Z23" s="173"/>
      <c r="AA23" s="173">
        <v>1</v>
      </c>
      <c r="AB23" s="173">
        <v>1</v>
      </c>
      <c r="AC23" s="173">
        <v>1</v>
      </c>
      <c r="AD23" s="173">
        <v>0.5</v>
      </c>
      <c r="AE23" s="173"/>
      <c r="AF23" s="173"/>
      <c r="AG23" s="176"/>
      <c r="AH23" s="153"/>
    </row>
  </sheetData>
  <mergeCells count="20">
    <mergeCell ref="AG3:AH3"/>
    <mergeCell ref="A2:A3"/>
    <mergeCell ref="B2:B3"/>
    <mergeCell ref="C2:C3"/>
    <mergeCell ref="D2:D3"/>
    <mergeCell ref="E2:E3"/>
    <mergeCell ref="F2:F3"/>
    <mergeCell ref="G2:G3"/>
    <mergeCell ref="H2:K2"/>
    <mergeCell ref="L2:Q2"/>
    <mergeCell ref="R2:Z2"/>
    <mergeCell ref="AA2:AF2"/>
    <mergeCell ref="C20:C23"/>
    <mergeCell ref="B4:B10"/>
    <mergeCell ref="C5:C10"/>
    <mergeCell ref="B11:B16"/>
    <mergeCell ref="C11:C12"/>
    <mergeCell ref="C13:C16"/>
    <mergeCell ref="B17:B19"/>
    <mergeCell ref="C18:C19"/>
  </mergeCells>
  <conditionalFormatting sqref="G11">
    <cfRule type="cellIs" dxfId="872" priority="207" operator="greaterThan">
      <formula>0.28</formula>
    </cfRule>
    <cfRule type="cellIs" dxfId="871" priority="208" operator="lessThanOrEqual">
      <formula>0.28</formula>
    </cfRule>
  </conditionalFormatting>
  <conditionalFormatting sqref="G12">
    <cfRule type="cellIs" dxfId="870" priority="104" operator="lessThanOrEqual">
      <formula>0.069</formula>
    </cfRule>
    <cfRule type="cellIs" dxfId="869" priority="103" operator="greaterThan">
      <formula>0.069</formula>
    </cfRule>
  </conditionalFormatting>
  <conditionalFormatting sqref="G11:L12">
    <cfRule type="cellIs" dxfId="868" priority="82" operator="equal">
      <formula>"-"</formula>
    </cfRule>
  </conditionalFormatting>
  <conditionalFormatting sqref="G11:N11">
    <cfRule type="containsBlanks" dxfId="867" priority="180">
      <formula>LEN(TRIM(G11))=0</formula>
    </cfRule>
  </conditionalFormatting>
  <conditionalFormatting sqref="G4:AF4">
    <cfRule type="cellIs" dxfId="866" priority="354" operator="equal">
      <formula>"-"</formula>
    </cfRule>
    <cfRule type="cellIs" dxfId="865" priority="357" operator="lessThanOrEqual">
      <formula>0.28</formula>
    </cfRule>
    <cfRule type="cellIs" dxfId="864" priority="356" operator="greaterThan">
      <formula>0.28</formula>
    </cfRule>
    <cfRule type="containsBlanks" dxfId="863" priority="355">
      <formula>LEN(TRIM(G4))=0</formula>
    </cfRule>
  </conditionalFormatting>
  <conditionalFormatting sqref="G5:AF5">
    <cfRule type="cellIs" dxfId="862" priority="315" operator="greaterThanOrEqual">
      <formula>0.9</formula>
    </cfRule>
    <cfRule type="cellIs" dxfId="861" priority="314" operator="lessThan">
      <formula>0.9</formula>
    </cfRule>
    <cfRule type="containsBlanks" dxfId="860" priority="324">
      <formula>LEN(TRIM(G5))=0</formula>
    </cfRule>
  </conditionalFormatting>
  <conditionalFormatting sqref="G6:AF6">
    <cfRule type="containsBlanks" dxfId="859" priority="209">
      <formula>LEN(TRIM(G6))=0</formula>
    </cfRule>
    <cfRule type="cellIs" dxfId="858" priority="210" operator="lessThan">
      <formula>0.95</formula>
    </cfRule>
    <cfRule type="cellIs" dxfId="857" priority="211" operator="greaterThanOrEqual">
      <formula>0.95</formula>
    </cfRule>
  </conditionalFormatting>
  <conditionalFormatting sqref="G6:AF7">
    <cfRule type="cellIs" dxfId="856" priority="316" operator="equal">
      <formula>"-"</formula>
    </cfRule>
  </conditionalFormatting>
  <conditionalFormatting sqref="G7:AF7">
    <cfRule type="containsBlanks" dxfId="855" priority="317">
      <formula>LEN(TRIM(G7))=0</formula>
    </cfRule>
    <cfRule type="cellIs" dxfId="854" priority="318" operator="greaterThan">
      <formula>0.04</formula>
    </cfRule>
    <cfRule type="cellIs" dxfId="853" priority="323" operator="lessThanOrEqual">
      <formula>0.04</formula>
    </cfRule>
  </conditionalFormatting>
  <conditionalFormatting sqref="G9:AF9">
    <cfRule type="containsBlanks" dxfId="852" priority="299">
      <formula>LEN(TRIM(G9))=0</formula>
    </cfRule>
    <cfRule type="cellIs" dxfId="851" priority="300" operator="lessThan">
      <formula>0.9</formula>
    </cfRule>
    <cfRule type="cellIs" dxfId="850" priority="293" operator="greaterThanOrEqual">
      <formula>0.9</formula>
    </cfRule>
  </conditionalFormatting>
  <conditionalFormatting sqref="G9:AF10">
    <cfRule type="cellIs" dxfId="849" priority="319" operator="equal">
      <formula>"-"</formula>
    </cfRule>
  </conditionalFormatting>
  <conditionalFormatting sqref="G10:AF10">
    <cfRule type="cellIs" dxfId="848" priority="322" operator="lessThanOrEqual">
      <formula>0.28</formula>
    </cfRule>
    <cfRule type="cellIs" dxfId="847" priority="321" operator="greaterThan">
      <formula>0.28</formula>
    </cfRule>
    <cfRule type="containsBlanks" dxfId="846" priority="320">
      <formula>LEN(TRIM(G10))=0</formula>
    </cfRule>
  </conditionalFormatting>
  <conditionalFormatting sqref="G12:AF12">
    <cfRule type="containsBlanks" dxfId="845" priority="1">
      <formula>LEN(TRIM(G12))=0</formula>
    </cfRule>
  </conditionalFormatting>
  <conditionalFormatting sqref="G13:AF13">
    <cfRule type="cellIs" dxfId="844" priority="290" stopIfTrue="1" operator="greaterThanOrEqual">
      <formula>0.95</formula>
    </cfRule>
    <cfRule type="cellIs" dxfId="843" priority="327" stopIfTrue="1" operator="lessThan">
      <formula>0.95</formula>
    </cfRule>
    <cfRule type="containsBlanks" dxfId="842" priority="289">
      <formula>LEN(TRIM(G13))=0</formula>
    </cfRule>
  </conditionalFormatting>
  <conditionalFormatting sqref="G14:AF14">
    <cfRule type="cellIs" dxfId="841" priority="213" operator="lessThan">
      <formula>0.8</formula>
    </cfRule>
    <cfRule type="cellIs" dxfId="840" priority="214" operator="greaterThanOrEqual">
      <formula>0.8</formula>
    </cfRule>
    <cfRule type="containsBlanks" dxfId="839" priority="212">
      <formula>LEN(TRIM(G14))=0</formula>
    </cfRule>
  </conditionalFormatting>
  <conditionalFormatting sqref="G17:AF17">
    <cfRule type="cellIs" dxfId="838" priority="260" operator="lessThan">
      <formula>0.9</formula>
    </cfRule>
    <cfRule type="cellIs" dxfId="837" priority="261" operator="greaterThanOrEqual">
      <formula>0.9</formula>
    </cfRule>
  </conditionalFormatting>
  <conditionalFormatting sqref="G17:AF19">
    <cfRule type="containsBlanks" dxfId="836" priority="238">
      <formula>LEN(TRIM(G17))=0</formula>
    </cfRule>
  </conditionalFormatting>
  <conditionalFormatting sqref="G18:AF18">
    <cfRule type="cellIs" dxfId="835" priority="249" operator="lessThan">
      <formula>0.86</formula>
    </cfRule>
    <cfRule type="cellIs" dxfId="834" priority="250" operator="greaterThanOrEqual">
      <formula>0.86</formula>
    </cfRule>
    <cfRule type="cellIs" dxfId="833" priority="248" operator="equal">
      <formula>"-"</formula>
    </cfRule>
  </conditionalFormatting>
  <conditionalFormatting sqref="G19:AF19">
    <cfRule type="cellIs" dxfId="832" priority="240" operator="greaterThanOrEqual">
      <formula>0.75</formula>
    </cfRule>
    <cfRule type="cellIs" dxfId="831" priority="239" operator="lessThan">
      <formula>0.75</formula>
    </cfRule>
  </conditionalFormatting>
  <conditionalFormatting sqref="G20:AF20">
    <cfRule type="cellIs" dxfId="830" priority="231" stopIfTrue="1" operator="greaterThanOrEqual">
      <formula>0.85</formula>
    </cfRule>
    <cfRule type="cellIs" dxfId="829" priority="234" stopIfTrue="1" operator="lessThan">
      <formula>0.85</formula>
    </cfRule>
  </conditionalFormatting>
  <conditionalFormatting sqref="G20:AF23">
    <cfRule type="containsBlanks" dxfId="828" priority="224">
      <formula>LEN(TRIM(G20))=0</formula>
    </cfRule>
  </conditionalFormatting>
  <conditionalFormatting sqref="G21:AF21">
    <cfRule type="cellIs" dxfId="827" priority="329" stopIfTrue="1" operator="lessThan">
      <formula>0.95</formula>
    </cfRule>
    <cfRule type="cellIs" dxfId="826" priority="229" stopIfTrue="1" operator="greaterThanOrEqual">
      <formula>0.95</formula>
    </cfRule>
  </conditionalFormatting>
  <conditionalFormatting sqref="G22:AF22">
    <cfRule type="cellIs" dxfId="825" priority="227" stopIfTrue="1" operator="greaterThanOrEqual">
      <formula>0.77</formula>
    </cfRule>
    <cfRule type="cellIs" dxfId="824" priority="330" stopIfTrue="1" operator="lessThan">
      <formula>0.77</formula>
    </cfRule>
  </conditionalFormatting>
  <conditionalFormatting sqref="G23:AF23">
    <cfRule type="cellIs" dxfId="823" priority="225" stopIfTrue="1" operator="greaterThanOrEqual">
      <formula>0.95</formula>
    </cfRule>
    <cfRule type="cellIs" dxfId="822" priority="331" stopIfTrue="1" operator="lessThan">
      <formula>0.95</formula>
    </cfRule>
  </conditionalFormatting>
  <conditionalFormatting sqref="G8:AG8">
    <cfRule type="cellIs" dxfId="821" priority="305" operator="lessThanOrEqual">
      <formula>0.11</formula>
    </cfRule>
    <cfRule type="cellIs" dxfId="820" priority="304" operator="greaterThan">
      <formula>0.11</formula>
    </cfRule>
    <cfRule type="containsBlanks" dxfId="819" priority="303">
      <formula>LEN(TRIM(G8))=0</formula>
    </cfRule>
    <cfRule type="cellIs" dxfId="818" priority="302" operator="equal">
      <formula>"-"</formula>
    </cfRule>
  </conditionalFormatting>
  <conditionalFormatting sqref="G15:AG15">
    <cfRule type="cellIs" dxfId="817" priority="282" operator="greaterThanOrEqual">
      <formula>0.8</formula>
    </cfRule>
    <cfRule type="containsBlanks" dxfId="816" priority="280">
      <formula>LEN(TRIM(G15))=0</formula>
    </cfRule>
    <cfRule type="cellIs" dxfId="815" priority="281" operator="lessThan">
      <formula>0.8</formula>
    </cfRule>
  </conditionalFormatting>
  <conditionalFormatting sqref="G14:AH14">
    <cfRule type="cellIs" dxfId="814" priority="215" operator="equal">
      <formula>"-"</formula>
    </cfRule>
  </conditionalFormatting>
  <conditionalFormatting sqref="G16:AH16">
    <cfRule type="cellIs" dxfId="813" priority="268" operator="equal">
      <formula>"-"</formula>
    </cfRule>
    <cfRule type="containsBlanks" dxfId="812" priority="269">
      <formula>LEN(TRIM(G16))=0</formula>
    </cfRule>
    <cfRule type="cellIs" dxfId="811" priority="271" operator="greaterThanOrEqual">
      <formula>0.75</formula>
    </cfRule>
    <cfRule type="cellIs" dxfId="810" priority="270" operator="lessThan">
      <formula>0.75</formula>
    </cfRule>
  </conditionalFormatting>
  <conditionalFormatting sqref="H11">
    <cfRule type="cellIs" dxfId="809" priority="200" operator="greaterThan">
      <formula>0.27</formula>
    </cfRule>
    <cfRule type="cellIs" dxfId="808" priority="201" operator="lessThanOrEqual">
      <formula>0.27</formula>
    </cfRule>
  </conditionalFormatting>
  <conditionalFormatting sqref="H12">
    <cfRule type="cellIs" dxfId="807" priority="100" operator="lessThanOrEqual">
      <formula>0.064</formula>
    </cfRule>
    <cfRule type="cellIs" dxfId="806" priority="99" operator="greaterThan">
      <formula>0.064</formula>
    </cfRule>
  </conditionalFormatting>
  <conditionalFormatting sqref="H9:AF9">
    <cfRule type="containsBlanks" dxfId="805" priority="291">
      <formula>LEN(TRIM(H9))=0</formula>
    </cfRule>
    <cfRule type="cellIs" dxfId="804" priority="292" operator="lessThan">
      <formula>0.9</formula>
    </cfRule>
    <cfRule type="cellIs" dxfId="803" priority="294" operator="equal">
      <formula>"-"</formula>
    </cfRule>
  </conditionalFormatting>
  <conditionalFormatting sqref="H20:AF20">
    <cfRule type="cellIs" dxfId="802" priority="233" stopIfTrue="1" operator="greaterThanOrEqual">
      <formula>0.85</formula>
    </cfRule>
    <cfRule type="containsBlanks" dxfId="801" priority="232">
      <formula>LEN(TRIM(H20))=0</formula>
    </cfRule>
  </conditionalFormatting>
  <conditionalFormatting sqref="I11">
    <cfRule type="cellIs" dxfId="800" priority="204" operator="lessThanOrEqual">
      <formula>0.29</formula>
    </cfRule>
    <cfRule type="cellIs" dxfId="799" priority="203" operator="greaterThan">
      <formula>0.29</formula>
    </cfRule>
  </conditionalFormatting>
  <conditionalFormatting sqref="I12">
    <cfRule type="cellIs" dxfId="798" priority="95" operator="greaterThan">
      <formula>0.0634</formula>
    </cfRule>
    <cfRule type="cellIs" dxfId="797" priority="96" operator="lessThanOrEqual">
      <formula>0.0634</formula>
    </cfRule>
  </conditionalFormatting>
  <conditionalFormatting sqref="J11">
    <cfRule type="cellIs" dxfId="796" priority="195" operator="greaterThan">
      <formula>0.3</formula>
    </cfRule>
    <cfRule type="cellIs" dxfId="795" priority="196" operator="lessThanOrEqual">
      <formula>0.3</formula>
    </cfRule>
  </conditionalFormatting>
  <conditionalFormatting sqref="J12">
    <cfRule type="cellIs" dxfId="794" priority="92" operator="lessThanOrEqual">
      <formula>0.0733</formula>
    </cfRule>
    <cfRule type="cellIs" dxfId="793" priority="91" operator="greaterThan">
      <formula>0.0733</formula>
    </cfRule>
  </conditionalFormatting>
  <conditionalFormatting sqref="K11">
    <cfRule type="cellIs" dxfId="792" priority="191" operator="greaterThan">
      <formula>0.23</formula>
    </cfRule>
    <cfRule type="cellIs" dxfId="791" priority="192" operator="lessThanOrEqual">
      <formula>0.23</formula>
    </cfRule>
  </conditionalFormatting>
  <conditionalFormatting sqref="K12">
    <cfRule type="cellIs" dxfId="790" priority="87" operator="greaterThan">
      <formula>0.0553</formula>
    </cfRule>
    <cfRule type="cellIs" dxfId="789" priority="88" operator="lessThanOrEqual">
      <formula>0.0553</formula>
    </cfRule>
  </conditionalFormatting>
  <conditionalFormatting sqref="L11">
    <cfRule type="cellIs" dxfId="788" priority="187" operator="greaterThan">
      <formula>0.27</formula>
    </cfRule>
    <cfRule type="cellIs" dxfId="787" priority="188" operator="lessThanOrEqual">
      <formula>0.27</formula>
    </cfRule>
  </conditionalFormatting>
  <conditionalFormatting sqref="L12">
    <cfRule type="cellIs" dxfId="786" priority="83" operator="greaterThan">
      <formula>0.0878</formula>
    </cfRule>
    <cfRule type="cellIs" dxfId="785" priority="84" operator="lessThanOrEqual">
      <formula>0.0878</formula>
    </cfRule>
  </conditionalFormatting>
  <conditionalFormatting sqref="M11">
    <cfRule type="cellIs" dxfId="784" priority="178" operator="equal">
      <formula>"-"</formula>
    </cfRule>
  </conditionalFormatting>
  <conditionalFormatting sqref="M12">
    <cfRule type="cellIs" dxfId="783" priority="79" operator="greaterThan">
      <formula>0.064</formula>
    </cfRule>
    <cfRule type="cellIs" dxfId="782" priority="80" operator="lessThanOrEqual">
      <formula>0.064</formula>
    </cfRule>
  </conditionalFormatting>
  <conditionalFormatting sqref="M11:N11">
    <cfRule type="cellIs" dxfId="781" priority="181" operator="greaterThan">
      <formula>0.29</formula>
    </cfRule>
    <cfRule type="cellIs" dxfId="780" priority="182" operator="lessThanOrEqual">
      <formula>0.29</formula>
    </cfRule>
  </conditionalFormatting>
  <conditionalFormatting sqref="M12:AF12">
    <cfRule type="cellIs" dxfId="779" priority="2" operator="equal">
      <formula>"-"</formula>
    </cfRule>
  </conditionalFormatting>
  <conditionalFormatting sqref="N12:O12">
    <cfRule type="cellIs" dxfId="778" priority="71" operator="greaterThan">
      <formula>0.04</formula>
    </cfRule>
    <cfRule type="cellIs" dxfId="777" priority="72" operator="lessThanOrEqual">
      <formula>0.04</formula>
    </cfRule>
  </conditionalFormatting>
  <conditionalFormatting sqref="N11:AF11">
    <cfRule type="cellIs" dxfId="776" priority="105" operator="equal">
      <formula>"-"</formula>
    </cfRule>
  </conditionalFormatting>
  <conditionalFormatting sqref="O11">
    <cfRule type="cellIs" dxfId="775" priority="176" operator="lessThanOrEqual">
      <formula>0.33</formula>
    </cfRule>
    <cfRule type="cellIs" dxfId="774" priority="175" operator="greaterThan">
      <formula>0.33</formula>
    </cfRule>
  </conditionalFormatting>
  <conditionalFormatting sqref="O11:AF11">
    <cfRule type="containsBlanks" dxfId="773" priority="106">
      <formula>LEN(TRIM(O11))=0</formula>
    </cfRule>
  </conditionalFormatting>
  <conditionalFormatting sqref="P11">
    <cfRule type="cellIs" dxfId="772" priority="172" operator="lessThanOrEqual">
      <formula>0.29</formula>
    </cfRule>
    <cfRule type="cellIs" dxfId="771" priority="171" operator="greaterThan">
      <formula>0.29</formula>
    </cfRule>
  </conditionalFormatting>
  <conditionalFormatting sqref="P12">
    <cfRule type="cellIs" dxfId="770" priority="68" operator="lessThanOrEqual">
      <formula>0.0575</formula>
    </cfRule>
    <cfRule type="cellIs" dxfId="769" priority="67" operator="greaterThan">
      <formula>0.0575</formula>
    </cfRule>
  </conditionalFormatting>
  <conditionalFormatting sqref="Q11">
    <cfRule type="cellIs" dxfId="768" priority="168" operator="lessThanOrEqual">
      <formula>0.27</formula>
    </cfRule>
    <cfRule type="cellIs" dxfId="767" priority="167" operator="greaterThan">
      <formula>0.27</formula>
    </cfRule>
  </conditionalFormatting>
  <conditionalFormatting sqref="Q12">
    <cfRule type="cellIs" dxfId="766" priority="63" operator="greaterThan">
      <formula>0.0911</formula>
    </cfRule>
    <cfRule type="cellIs" dxfId="765" priority="64" operator="lessThanOrEqual">
      <formula>0.0911</formula>
    </cfRule>
  </conditionalFormatting>
  <conditionalFormatting sqref="R11">
    <cfRule type="cellIs" dxfId="764" priority="164" operator="lessThanOrEqual">
      <formula>0.32</formula>
    </cfRule>
    <cfRule type="cellIs" dxfId="763" priority="163" operator="greaterThan">
      <formula>0.32</formula>
    </cfRule>
  </conditionalFormatting>
  <conditionalFormatting sqref="R12">
    <cfRule type="cellIs" dxfId="762" priority="60" operator="lessThanOrEqual">
      <formula>0.0617</formula>
    </cfRule>
    <cfRule type="cellIs" dxfId="761" priority="59" operator="greaterThan">
      <formula>0.0617</formula>
    </cfRule>
  </conditionalFormatting>
  <conditionalFormatting sqref="S11">
    <cfRule type="cellIs" dxfId="760" priority="160" operator="lessThanOrEqual">
      <formula>0.27</formula>
    </cfRule>
    <cfRule type="cellIs" dxfId="759" priority="159" operator="greaterThan">
      <formula>0.27</formula>
    </cfRule>
  </conditionalFormatting>
  <conditionalFormatting sqref="S12">
    <cfRule type="cellIs" dxfId="758" priority="55" operator="greaterThan">
      <formula>0.0549</formula>
    </cfRule>
    <cfRule type="cellIs" dxfId="757" priority="56" operator="lessThanOrEqual">
      <formula>0.0549</formula>
    </cfRule>
  </conditionalFormatting>
  <conditionalFormatting sqref="T11">
    <cfRule type="cellIs" dxfId="756" priority="155" operator="greaterThan">
      <formula>0.29</formula>
    </cfRule>
    <cfRule type="cellIs" dxfId="755" priority="156" operator="lessThanOrEqual">
      <formula>0.29</formula>
    </cfRule>
  </conditionalFormatting>
  <conditionalFormatting sqref="T12">
    <cfRule type="cellIs" dxfId="754" priority="52" operator="lessThanOrEqual">
      <formula>0.1038</formula>
    </cfRule>
    <cfRule type="cellIs" dxfId="753" priority="51" operator="greaterThan">
      <formula>0.1038</formula>
    </cfRule>
  </conditionalFormatting>
  <conditionalFormatting sqref="U11">
    <cfRule type="cellIs" dxfId="752" priority="152" operator="lessThanOrEqual">
      <formula>0.27</formula>
    </cfRule>
    <cfRule type="cellIs" dxfId="751" priority="151" operator="greaterThan">
      <formula>0.27</formula>
    </cfRule>
  </conditionalFormatting>
  <conditionalFormatting sqref="U12">
    <cfRule type="cellIs" dxfId="750" priority="47" operator="greaterThan">
      <formula>0.066</formula>
    </cfRule>
    <cfRule type="cellIs" dxfId="749" priority="48" operator="lessThanOrEqual">
      <formula>0.066</formula>
    </cfRule>
  </conditionalFormatting>
  <conditionalFormatting sqref="V11">
    <cfRule type="cellIs" dxfId="748" priority="148" operator="lessThanOrEqual">
      <formula>0.37</formula>
    </cfRule>
    <cfRule type="cellIs" dxfId="747" priority="147" operator="greaterThan">
      <formula>0.37</formula>
    </cfRule>
  </conditionalFormatting>
  <conditionalFormatting sqref="V12">
    <cfRule type="cellIs" dxfId="746" priority="44" operator="lessThanOrEqual">
      <formula>0.0599</formula>
    </cfRule>
    <cfRule type="cellIs" dxfId="745" priority="43" operator="greaterThan">
      <formula>0.0599</formula>
    </cfRule>
  </conditionalFormatting>
  <conditionalFormatting sqref="W11">
    <cfRule type="cellIs" dxfId="744" priority="144" operator="lessThanOrEqual">
      <formula>0.27</formula>
    </cfRule>
    <cfRule type="cellIs" dxfId="743" priority="143" operator="greaterThan">
      <formula>0.27</formula>
    </cfRule>
  </conditionalFormatting>
  <conditionalFormatting sqref="W12">
    <cfRule type="cellIs" dxfId="742" priority="39" operator="greaterThan">
      <formula>0.0768</formula>
    </cfRule>
    <cfRule type="cellIs" dxfId="741" priority="40" operator="lessThanOrEqual">
      <formula>0.0768</formula>
    </cfRule>
  </conditionalFormatting>
  <conditionalFormatting sqref="X11">
    <cfRule type="cellIs" dxfId="740" priority="140" operator="lessThanOrEqual">
      <formula>0.29</formula>
    </cfRule>
    <cfRule type="cellIs" dxfId="739" priority="139" operator="greaterThan">
      <formula>0.29</formula>
    </cfRule>
  </conditionalFormatting>
  <conditionalFormatting sqref="X12">
    <cfRule type="cellIs" dxfId="738" priority="36" operator="lessThanOrEqual">
      <formula>0.0817</formula>
    </cfRule>
    <cfRule type="cellIs" dxfId="737" priority="35" operator="greaterThan">
      <formula>0.0817</formula>
    </cfRule>
  </conditionalFormatting>
  <conditionalFormatting sqref="Y11">
    <cfRule type="cellIs" dxfId="736" priority="135" operator="greaterThan">
      <formula>0.28</formula>
    </cfRule>
    <cfRule type="cellIs" dxfId="735" priority="136" operator="lessThanOrEqual">
      <formula>0.28</formula>
    </cfRule>
  </conditionalFormatting>
  <conditionalFormatting sqref="Y12">
    <cfRule type="cellIs" dxfId="734" priority="32" operator="lessThanOrEqual">
      <formula>0.0951</formula>
    </cfRule>
    <cfRule type="cellIs" dxfId="733" priority="31" operator="greaterThan">
      <formula>0.0951</formula>
    </cfRule>
  </conditionalFormatting>
  <conditionalFormatting sqref="Z11">
    <cfRule type="cellIs" dxfId="732" priority="132" operator="lessThanOrEqual">
      <formula>0.32</formula>
    </cfRule>
    <cfRule type="cellIs" dxfId="731" priority="131" operator="greaterThan">
      <formula>0.32</formula>
    </cfRule>
  </conditionalFormatting>
  <conditionalFormatting sqref="Z12">
    <cfRule type="cellIs" dxfId="730" priority="28" operator="lessThanOrEqual">
      <formula>0.0594</formula>
    </cfRule>
    <cfRule type="cellIs" dxfId="729" priority="27" operator="greaterThan">
      <formula>0.0594</formula>
    </cfRule>
  </conditionalFormatting>
  <conditionalFormatting sqref="AA11">
    <cfRule type="cellIs" dxfId="728" priority="128" operator="lessThanOrEqual">
      <formula>0.235</formula>
    </cfRule>
    <cfRule type="cellIs" dxfId="727" priority="127" operator="greaterThan">
      <formula>0.235</formula>
    </cfRule>
  </conditionalFormatting>
  <conditionalFormatting sqref="AA12">
    <cfRule type="cellIs" dxfId="726" priority="24" operator="lessThanOrEqual">
      <formula>0.0492</formula>
    </cfRule>
    <cfRule type="cellIs" dxfId="725" priority="23" operator="greaterThan">
      <formula>0.0492</formula>
    </cfRule>
  </conditionalFormatting>
  <conditionalFormatting sqref="AB11">
    <cfRule type="cellIs" dxfId="724" priority="124" operator="lessThanOrEqual">
      <formula>0.245</formula>
    </cfRule>
    <cfRule type="cellIs" dxfId="723" priority="123" operator="greaterThan">
      <formula>0.245</formula>
    </cfRule>
  </conditionalFormatting>
  <conditionalFormatting sqref="AB12">
    <cfRule type="cellIs" dxfId="722" priority="20" operator="lessThanOrEqual">
      <formula>0.0409</formula>
    </cfRule>
    <cfRule type="cellIs" dxfId="721" priority="19" operator="greaterThan">
      <formula>0.0409</formula>
    </cfRule>
  </conditionalFormatting>
  <conditionalFormatting sqref="AC11">
    <cfRule type="cellIs" dxfId="720" priority="120" operator="lessThanOrEqual">
      <formula>0.195</formula>
    </cfRule>
    <cfRule type="cellIs" dxfId="719" priority="119" operator="greaterThan">
      <formula>0.195</formula>
    </cfRule>
  </conditionalFormatting>
  <conditionalFormatting sqref="AC12">
    <cfRule type="cellIs" dxfId="718" priority="16" operator="lessThanOrEqual">
      <formula>0.0507</formula>
    </cfRule>
    <cfRule type="cellIs" dxfId="717" priority="15" operator="greaterThan">
      <formula>0.0507</formula>
    </cfRule>
  </conditionalFormatting>
  <conditionalFormatting sqref="AD12">
    <cfRule type="cellIs" dxfId="716" priority="11" operator="greaterThan">
      <formula>0.066</formula>
    </cfRule>
    <cfRule type="cellIs" dxfId="715" priority="12" operator="lessThanOrEqual">
      <formula>0.066</formula>
    </cfRule>
  </conditionalFormatting>
  <conditionalFormatting sqref="AD11:AE11">
    <cfRule type="cellIs" dxfId="714" priority="112" operator="lessThanOrEqual">
      <formula>0.245</formula>
    </cfRule>
    <cfRule type="cellIs" dxfId="713" priority="111" operator="greaterThan">
      <formula>0.245</formula>
    </cfRule>
  </conditionalFormatting>
  <conditionalFormatting sqref="AE12">
    <cfRule type="cellIs" dxfId="712" priority="7" operator="greaterThan">
      <formula>0.073</formula>
    </cfRule>
    <cfRule type="cellIs" dxfId="711" priority="8" operator="lessThanOrEqual">
      <formula>0.073</formula>
    </cfRule>
  </conditionalFormatting>
  <conditionalFormatting sqref="AF11">
    <cfRule type="cellIs" dxfId="710" priority="108" operator="lessThanOrEqual">
      <formula>0.225</formula>
    </cfRule>
    <cfRule type="cellIs" dxfId="709" priority="107" operator="greaterThan">
      <formula>0.225</formula>
    </cfRule>
  </conditionalFormatting>
  <conditionalFormatting sqref="AF12">
    <cfRule type="cellIs" dxfId="708" priority="3" operator="greaterThan">
      <formula>0.0518</formula>
    </cfRule>
    <cfRule type="cellIs" dxfId="707" priority="4" operator="lessThanOrEqual">
      <formula>0.0518</formula>
    </cfRule>
  </conditionalFormatting>
  <conditionalFormatting sqref="AG5">
    <cfRule type="cellIs" dxfId="706" priority="352" operator="lessThan">
      <formula>0.9</formula>
    </cfRule>
    <cfRule type="containsBlanks" dxfId="705" priority="351">
      <formula>LEN(TRIM(AG5))=0</formula>
    </cfRule>
    <cfRule type="cellIs" dxfId="704" priority="353" operator="greaterThanOrEqual">
      <formula>0.9</formula>
    </cfRule>
  </conditionalFormatting>
  <conditionalFormatting sqref="AG19:AG23">
    <cfRule type="containsBlanks" dxfId="703" priority="336">
      <formula>LEN(TRIM(AG19))=0</formula>
    </cfRule>
    <cfRule type="cellIs" dxfId="702" priority="337" operator="equal">
      <formula>"-"</formula>
    </cfRule>
    <cfRule type="cellIs" dxfId="701" priority="338" operator="lessThan">
      <formula>0.74</formula>
    </cfRule>
    <cfRule type="cellIs" dxfId="700" priority="339" operator="greaterThanOrEqual">
      <formula>0.74</formula>
    </cfRule>
  </conditionalFormatting>
  <conditionalFormatting sqref="AG14:AH14">
    <cfRule type="containsBlanks" dxfId="699" priority="347">
      <formula>LEN(TRIM(AG14))=0</formula>
    </cfRule>
    <cfRule type="cellIs" dxfId="698" priority="349" operator="lessThan">
      <formula>0.8</formula>
    </cfRule>
    <cfRule type="cellIs" dxfId="697" priority="350" operator="greaterThanOrEqual">
      <formula>0.8</formula>
    </cfRule>
  </conditionalFormatting>
  <conditionalFormatting sqref="AI18:AN18">
    <cfRule type="containsBlanks" dxfId="696" priority="358">
      <formula>LEN(TRIM(AI18))=0</formula>
    </cfRule>
    <cfRule type="cellIs" dxfId="695" priority="359" operator="lessThan">
      <formula>0.84</formula>
    </cfRule>
    <cfRule type="cellIs" dxfId="694" priority="360" operator="greaterThanOrEqual">
      <formula>0.84</formula>
    </cfRule>
  </conditionalFormatting>
  <pageMargins left="0.7" right="0.7" top="0.75" bottom="0.75" header="0.3" footer="0.3"/>
  <pageSetup paperSize="9" orientation="landscape" horizontalDpi="4294967293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23"/>
  <sheetViews>
    <sheetView zoomScale="82" zoomScaleNormal="82" workbookViewId="0">
      <pane xSplit="6" ySplit="3" topLeftCell="G4" activePane="bottomRight" state="frozen"/>
      <selection pane="topRight" activeCell="I31" sqref="I31"/>
      <selection pane="bottomLeft" activeCell="I31" sqref="I31"/>
      <selection pane="bottomRight" activeCell="H27" sqref="H27"/>
    </sheetView>
  </sheetViews>
  <sheetFormatPr defaultColWidth="9.140625" defaultRowHeight="12.75" x14ac:dyDescent="0.2"/>
  <cols>
    <col min="1" max="1" width="11" style="11" bestFit="1" customWidth="1"/>
    <col min="2" max="2" width="10.42578125" style="11" bestFit="1" customWidth="1"/>
    <col min="3" max="3" width="19.42578125" style="160" customWidth="1"/>
    <col min="4" max="4" width="64.28515625" style="11" bestFit="1" customWidth="1"/>
    <col min="5" max="5" width="3.28515625" style="11" bestFit="1" customWidth="1"/>
    <col min="6" max="6" width="7" style="11" bestFit="1" customWidth="1"/>
    <col min="7" max="7" width="11.42578125" style="21" customWidth="1"/>
    <col min="8" max="8" width="9.5703125" style="11" customWidth="1"/>
    <col min="9" max="32" width="9.140625" style="11" customWidth="1"/>
    <col min="33" max="34" width="17.7109375" style="11" customWidth="1"/>
    <col min="35" max="16384" width="9.140625" style="11"/>
  </cols>
  <sheetData>
    <row r="1" spans="1:34" x14ac:dyDescent="0.2">
      <c r="A1" s="11" t="s">
        <v>35</v>
      </c>
    </row>
    <row r="2" spans="1:34" x14ac:dyDescent="0.2">
      <c r="A2" s="334" t="s">
        <v>0</v>
      </c>
      <c r="B2" s="334" t="s">
        <v>36</v>
      </c>
      <c r="C2" s="334" t="s">
        <v>37</v>
      </c>
      <c r="D2" s="338" t="s">
        <v>90</v>
      </c>
      <c r="E2" s="338" t="s">
        <v>24</v>
      </c>
      <c r="F2" s="338" t="s">
        <v>39</v>
      </c>
      <c r="G2" s="339" t="s">
        <v>40</v>
      </c>
      <c r="H2" s="338" t="s">
        <v>41</v>
      </c>
      <c r="I2" s="338"/>
      <c r="J2" s="338"/>
      <c r="K2" s="338"/>
      <c r="L2" s="340" t="s">
        <v>42</v>
      </c>
      <c r="M2" s="340"/>
      <c r="N2" s="340"/>
      <c r="O2" s="340"/>
      <c r="P2" s="340"/>
      <c r="Q2" s="340"/>
      <c r="R2" s="341" t="s">
        <v>43</v>
      </c>
      <c r="S2" s="341"/>
      <c r="T2" s="341"/>
      <c r="U2" s="341"/>
      <c r="V2" s="341"/>
      <c r="W2" s="341"/>
      <c r="X2" s="341"/>
      <c r="Y2" s="341"/>
      <c r="Z2" s="341"/>
      <c r="AA2" s="342" t="s">
        <v>44</v>
      </c>
      <c r="AB2" s="342"/>
      <c r="AC2" s="342"/>
      <c r="AD2" s="342"/>
      <c r="AE2" s="342"/>
      <c r="AF2" s="342"/>
      <c r="AG2" s="64" t="s">
        <v>28</v>
      </c>
      <c r="AH2" s="64" t="s">
        <v>29</v>
      </c>
    </row>
    <row r="3" spans="1:34" ht="15" customHeight="1" x14ac:dyDescent="0.2">
      <c r="A3" s="334"/>
      <c r="B3" s="334"/>
      <c r="C3" s="334"/>
      <c r="D3" s="338"/>
      <c r="E3" s="338"/>
      <c r="F3" s="338"/>
      <c r="G3" s="339"/>
      <c r="H3" s="19" t="s">
        <v>45</v>
      </c>
      <c r="I3" s="20" t="s">
        <v>26</v>
      </c>
      <c r="J3" s="20" t="s">
        <v>46</v>
      </c>
      <c r="K3" s="20" t="s">
        <v>91</v>
      </c>
      <c r="L3" s="193" t="s">
        <v>27</v>
      </c>
      <c r="M3" s="193" t="s">
        <v>30</v>
      </c>
      <c r="N3" s="193" t="s">
        <v>31</v>
      </c>
      <c r="O3" s="193" t="s">
        <v>32</v>
      </c>
      <c r="P3" s="193" t="s">
        <v>33</v>
      </c>
      <c r="Q3" s="193" t="s">
        <v>34</v>
      </c>
      <c r="R3" s="194" t="s">
        <v>47</v>
      </c>
      <c r="S3" s="194" t="s">
        <v>48</v>
      </c>
      <c r="T3" s="194" t="s">
        <v>49</v>
      </c>
      <c r="U3" s="194" t="s">
        <v>50</v>
      </c>
      <c r="V3" s="194" t="s">
        <v>51</v>
      </c>
      <c r="W3" s="194" t="s">
        <v>52</v>
      </c>
      <c r="X3" s="194" t="s">
        <v>53</v>
      </c>
      <c r="Y3" s="194" t="s">
        <v>54</v>
      </c>
      <c r="Z3" s="194" t="s">
        <v>55</v>
      </c>
      <c r="AA3" s="195" t="s">
        <v>56</v>
      </c>
      <c r="AB3" s="195" t="s">
        <v>57</v>
      </c>
      <c r="AC3" s="195" t="s">
        <v>58</v>
      </c>
      <c r="AD3" s="195" t="s">
        <v>59</v>
      </c>
      <c r="AE3" s="195" t="s">
        <v>60</v>
      </c>
      <c r="AF3" s="195" t="s">
        <v>61</v>
      </c>
      <c r="AG3" s="336" t="s">
        <v>62</v>
      </c>
      <c r="AH3" s="337"/>
    </row>
    <row r="4" spans="1:34" s="163" customFormat="1" hidden="1" x14ac:dyDescent="0.25">
      <c r="A4" s="179" t="s">
        <v>2</v>
      </c>
      <c r="B4" s="334" t="s">
        <v>63</v>
      </c>
      <c r="C4" s="155" t="s">
        <v>64</v>
      </c>
      <c r="D4" s="156" t="s">
        <v>65</v>
      </c>
      <c r="E4" s="20">
        <v>1</v>
      </c>
      <c r="F4" s="157">
        <v>0.03</v>
      </c>
      <c r="G4" s="172" t="s">
        <v>66</v>
      </c>
      <c r="H4" s="172" t="s">
        <v>66</v>
      </c>
      <c r="I4" s="172" t="s">
        <v>66</v>
      </c>
      <c r="J4" s="172" t="s">
        <v>66</v>
      </c>
      <c r="K4" s="172" t="s">
        <v>66</v>
      </c>
      <c r="L4" s="172" t="s">
        <v>66</v>
      </c>
      <c r="M4" s="172" t="s">
        <v>66</v>
      </c>
      <c r="N4" s="172" t="s">
        <v>66</v>
      </c>
      <c r="O4" s="172" t="s">
        <v>66</v>
      </c>
      <c r="P4" s="172" t="s">
        <v>66</v>
      </c>
      <c r="Q4" s="172" t="s">
        <v>66</v>
      </c>
      <c r="R4" s="172" t="s">
        <v>66</v>
      </c>
      <c r="S4" s="172" t="s">
        <v>66</v>
      </c>
      <c r="T4" s="172" t="s">
        <v>66</v>
      </c>
      <c r="U4" s="172" t="s">
        <v>66</v>
      </c>
      <c r="V4" s="172" t="s">
        <v>66</v>
      </c>
      <c r="W4" s="172" t="s">
        <v>66</v>
      </c>
      <c r="X4" s="172" t="s">
        <v>66</v>
      </c>
      <c r="Y4" s="172" t="s">
        <v>66</v>
      </c>
      <c r="Z4" s="172" t="s">
        <v>66</v>
      </c>
      <c r="AA4" s="172" t="s">
        <v>66</v>
      </c>
      <c r="AB4" s="172" t="s">
        <v>66</v>
      </c>
      <c r="AC4" s="172" t="s">
        <v>66</v>
      </c>
      <c r="AD4" s="172" t="s">
        <v>66</v>
      </c>
      <c r="AE4" s="172" t="s">
        <v>66</v>
      </c>
      <c r="AF4" s="172" t="s">
        <v>66</v>
      </c>
      <c r="AG4" s="165"/>
      <c r="AH4" s="161"/>
    </row>
    <row r="5" spans="1:34" x14ac:dyDescent="0.2">
      <c r="A5" s="167" t="s">
        <v>1</v>
      </c>
      <c r="B5" s="334"/>
      <c r="C5" s="335"/>
      <c r="D5" s="158" t="s">
        <v>5</v>
      </c>
      <c r="E5" s="20">
        <v>1</v>
      </c>
      <c r="F5" s="119">
        <v>0.9</v>
      </c>
      <c r="G5" s="52">
        <v>0.94489069649211999</v>
      </c>
      <c r="H5" s="52">
        <v>0.96741071428571423</v>
      </c>
      <c r="I5" s="52">
        <v>0.95066666666666666</v>
      </c>
      <c r="J5" s="52">
        <v>0.97729729729729731</v>
      </c>
      <c r="K5" s="52">
        <v>0.97345132743362828</v>
      </c>
      <c r="L5" s="52">
        <v>0.98484848484848486</v>
      </c>
      <c r="M5" s="52">
        <v>0.93150684931506844</v>
      </c>
      <c r="N5" s="52">
        <v>0.9854368932038835</v>
      </c>
      <c r="O5" s="52">
        <v>0.5</v>
      </c>
      <c r="P5" s="52">
        <v>0.94545454545454544</v>
      </c>
      <c r="Q5" s="52">
        <v>0.94736842105263153</v>
      </c>
      <c r="R5" s="52">
        <v>0.97333333333333338</v>
      </c>
      <c r="S5" s="52">
        <v>1</v>
      </c>
      <c r="T5" s="52">
        <v>0.99009900990099009</v>
      </c>
      <c r="U5" s="52">
        <v>0.98639455782312924</v>
      </c>
      <c r="V5" s="52">
        <v>0.81944444444444442</v>
      </c>
      <c r="W5" s="52">
        <v>0.9859154929577465</v>
      </c>
      <c r="X5" s="52">
        <v>1</v>
      </c>
      <c r="Y5" s="52">
        <v>0.98780487804878048</v>
      </c>
      <c r="Z5" s="52">
        <v>1</v>
      </c>
      <c r="AA5" s="52">
        <v>1</v>
      </c>
      <c r="AB5" s="52">
        <v>0.98461538461538467</v>
      </c>
      <c r="AC5" s="52">
        <v>1</v>
      </c>
      <c r="AD5" s="52">
        <v>0.90833333333333333</v>
      </c>
      <c r="AE5" s="52">
        <v>1</v>
      </c>
      <c r="AF5" s="52">
        <v>0.97872340425531912</v>
      </c>
      <c r="AG5" s="170"/>
      <c r="AH5" s="153"/>
    </row>
    <row r="6" spans="1:34" x14ac:dyDescent="0.2">
      <c r="A6" s="167" t="s">
        <v>1</v>
      </c>
      <c r="B6" s="334"/>
      <c r="C6" s="335"/>
      <c r="D6" s="169" t="s">
        <v>6</v>
      </c>
      <c r="E6" s="20">
        <v>2</v>
      </c>
      <c r="F6" s="119">
        <v>0.95</v>
      </c>
      <c r="G6" s="171">
        <v>0.97943661971830986</v>
      </c>
      <c r="H6" s="171">
        <v>0.9860114777618364</v>
      </c>
      <c r="I6" s="171">
        <v>0.98439241917502784</v>
      </c>
      <c r="J6" s="171">
        <v>0.99223468507333912</v>
      </c>
      <c r="K6" s="171">
        <v>0.97814207650273222</v>
      </c>
      <c r="L6" s="171">
        <v>0.97633136094674555</v>
      </c>
      <c r="M6" s="171">
        <v>1</v>
      </c>
      <c r="N6" s="171">
        <v>0.97356828193832601</v>
      </c>
      <c r="O6" s="171">
        <v>0.93939393939393945</v>
      </c>
      <c r="P6" s="171">
        <v>0.99270072992700731</v>
      </c>
      <c r="Q6" s="171">
        <v>0.99598393574297184</v>
      </c>
      <c r="R6" s="171">
        <v>1</v>
      </c>
      <c r="S6" s="171">
        <v>0.98809523809523814</v>
      </c>
      <c r="T6" s="171">
        <v>0.98630136986301364</v>
      </c>
      <c r="U6" s="171">
        <v>0.98421052631578942</v>
      </c>
      <c r="V6" s="171">
        <v>0.99065420560747663</v>
      </c>
      <c r="W6" s="171">
        <v>1</v>
      </c>
      <c r="X6" s="171">
        <v>1</v>
      </c>
      <c r="Y6" s="171">
        <v>1</v>
      </c>
      <c r="Z6" s="171">
        <v>0.99099099099099097</v>
      </c>
      <c r="AA6" s="171">
        <v>0.98275862068965514</v>
      </c>
      <c r="AB6" s="171">
        <v>0.96590909090909094</v>
      </c>
      <c r="AC6" s="171">
        <v>0.9882352941176471</v>
      </c>
      <c r="AD6" s="171">
        <v>0.97122302158273377</v>
      </c>
      <c r="AE6" s="171">
        <v>0.98620689655172411</v>
      </c>
      <c r="AF6" s="171">
        <v>0.98449612403100772</v>
      </c>
      <c r="AG6" s="162"/>
      <c r="AH6" s="153"/>
    </row>
    <row r="7" spans="1:34" x14ac:dyDescent="0.2">
      <c r="A7" s="167" t="s">
        <v>1</v>
      </c>
      <c r="B7" s="334"/>
      <c r="C7" s="335"/>
      <c r="D7" s="158" t="s">
        <v>8</v>
      </c>
      <c r="E7" s="20">
        <v>3</v>
      </c>
      <c r="F7" s="119">
        <v>0.04</v>
      </c>
      <c r="G7" s="187">
        <v>2.2839801948570517E-2</v>
      </c>
      <c r="H7" s="187">
        <v>6.8526676456191872E-3</v>
      </c>
      <c r="I7" s="187">
        <v>6.6815144766146995E-3</v>
      </c>
      <c r="J7" s="187">
        <v>7.5362318840579709E-3</v>
      </c>
      <c r="K7" s="187">
        <v>5.9171597633136093E-3</v>
      </c>
      <c r="L7" s="187">
        <v>1.4598540145985401E-2</v>
      </c>
      <c r="M7" s="187">
        <v>9.2592592592592587E-3</v>
      </c>
      <c r="N7" s="187">
        <v>6.1162079510703364E-3</v>
      </c>
      <c r="O7" s="187">
        <v>2.4390243902439025E-2</v>
      </c>
      <c r="P7" s="187" t="s">
        <v>67</v>
      </c>
      <c r="Q7" s="187">
        <v>2.4154589371980675E-3</v>
      </c>
      <c r="R7" s="187" t="s">
        <v>67</v>
      </c>
      <c r="S7" s="187">
        <v>1.6877637130801686E-2</v>
      </c>
      <c r="T7" s="187">
        <v>8.4388185654008432E-3</v>
      </c>
      <c r="U7" s="187" t="s">
        <v>67</v>
      </c>
      <c r="V7" s="187">
        <v>2.6905829596412557E-2</v>
      </c>
      <c r="W7" s="187" t="s">
        <v>67</v>
      </c>
      <c r="X7" s="187" t="s">
        <v>67</v>
      </c>
      <c r="Y7" s="187">
        <v>8.2644628099173556E-3</v>
      </c>
      <c r="Z7" s="187" t="s">
        <v>67</v>
      </c>
      <c r="AA7" s="187" t="s">
        <v>67</v>
      </c>
      <c r="AB7" s="187">
        <v>1.9762845849802372E-2</v>
      </c>
      <c r="AC7" s="187" t="s">
        <v>67</v>
      </c>
      <c r="AD7" s="187">
        <v>5.5865921787709499E-3</v>
      </c>
      <c r="AE7" s="187" t="s">
        <v>67</v>
      </c>
      <c r="AF7" s="187" t="s">
        <v>67</v>
      </c>
      <c r="AG7" s="162"/>
      <c r="AH7" s="153"/>
    </row>
    <row r="8" spans="1:34" x14ac:dyDescent="0.2">
      <c r="A8" s="167" t="s">
        <v>1</v>
      </c>
      <c r="B8" s="334"/>
      <c r="C8" s="335"/>
      <c r="D8" s="158" t="s">
        <v>68</v>
      </c>
      <c r="E8" s="20">
        <v>4</v>
      </c>
      <c r="F8" s="119">
        <v>0.11</v>
      </c>
      <c r="G8" s="171">
        <v>0.20103284885268594</v>
      </c>
      <c r="H8" s="171">
        <v>8.4189916789035729E-2</v>
      </c>
      <c r="I8" s="171">
        <v>7.7951002227171495E-2</v>
      </c>
      <c r="J8" s="171">
        <v>9.7391304347826085E-2</v>
      </c>
      <c r="K8" s="171">
        <v>7.0019723865877709E-2</v>
      </c>
      <c r="L8" s="171">
        <v>9.8540145985401464E-2</v>
      </c>
      <c r="M8" s="171">
        <v>1.8518518518518517E-2</v>
      </c>
      <c r="N8" s="171">
        <v>0.11620795107033639</v>
      </c>
      <c r="O8" s="171">
        <v>7.3170731707317069E-2</v>
      </c>
      <c r="P8" s="171">
        <v>7.650273224043716E-2</v>
      </c>
      <c r="Q8" s="171">
        <v>5.0724637681159424E-2</v>
      </c>
      <c r="R8" s="171">
        <v>4.2105263157894736E-2</v>
      </c>
      <c r="S8" s="171">
        <v>6.7510548523206745E-2</v>
      </c>
      <c r="T8" s="171">
        <v>8.0168776371308023E-2</v>
      </c>
      <c r="U8" s="171">
        <v>0.13584905660377358</v>
      </c>
      <c r="V8" s="171">
        <v>0.16143497757847533</v>
      </c>
      <c r="W8" s="171">
        <v>5.3497942386831275E-2</v>
      </c>
      <c r="X8" s="171">
        <v>0.12587412587412589</v>
      </c>
      <c r="Y8" s="171">
        <v>9.9173553719008267E-2</v>
      </c>
      <c r="Z8" s="171">
        <v>8.6956521739130432E-2</v>
      </c>
      <c r="AA8" s="171">
        <v>9.5238095238095233E-2</v>
      </c>
      <c r="AB8" s="171">
        <v>0.11462450592885376</v>
      </c>
      <c r="AC8" s="171">
        <v>1.5151515151515152E-2</v>
      </c>
      <c r="AD8" s="171">
        <v>8.3798882681564241E-2</v>
      </c>
      <c r="AE8" s="171">
        <v>3.2258064516129031E-2</v>
      </c>
      <c r="AF8" s="171">
        <v>6.1111111111111109E-2</v>
      </c>
      <c r="AG8" s="171"/>
      <c r="AH8" s="153"/>
    </row>
    <row r="9" spans="1:34" x14ac:dyDescent="0.2">
      <c r="A9" s="167" t="s">
        <v>1</v>
      </c>
      <c r="B9" s="334"/>
      <c r="C9" s="335"/>
      <c r="D9" s="158" t="s">
        <v>9</v>
      </c>
      <c r="E9" s="20">
        <v>5</v>
      </c>
      <c r="F9" s="119">
        <v>0.9</v>
      </c>
      <c r="G9" s="52">
        <v>0.8675520459440057</v>
      </c>
      <c r="H9" s="52">
        <v>0.92088382038488947</v>
      </c>
      <c r="I9" s="52">
        <v>0.90680628272251307</v>
      </c>
      <c r="J9" s="52">
        <v>0.92933810375670844</v>
      </c>
      <c r="K9" s="52">
        <v>0.92633015006821284</v>
      </c>
      <c r="L9" s="52">
        <v>0.88043478260869568</v>
      </c>
      <c r="M9" s="52">
        <v>0.91549295774647887</v>
      </c>
      <c r="N9" s="52">
        <v>0.92567567567567566</v>
      </c>
      <c r="O9" s="52">
        <v>0.76</v>
      </c>
      <c r="P9" s="52">
        <v>0.9652173913043478</v>
      </c>
      <c r="Q9" s="52">
        <v>0.89015151515151514</v>
      </c>
      <c r="R9" s="52">
        <v>0.92207792207792205</v>
      </c>
      <c r="S9" s="52">
        <v>0.92672413793103448</v>
      </c>
      <c r="T9" s="52">
        <v>0.96581196581196582</v>
      </c>
      <c r="U9" s="52">
        <v>0.89583333333333337</v>
      </c>
      <c r="V9" s="52">
        <v>0.93023255813953487</v>
      </c>
      <c r="W9" s="52">
        <v>0.95495495495495497</v>
      </c>
      <c r="X9" s="52">
        <v>0.92</v>
      </c>
      <c r="Y9" s="52">
        <v>0.92045454545454541</v>
      </c>
      <c r="Z9" s="52">
        <v>0.94782608695652171</v>
      </c>
      <c r="AA9" s="52">
        <v>0.90740740740740744</v>
      </c>
      <c r="AB9" s="52">
        <v>0.91712707182320441</v>
      </c>
      <c r="AC9" s="52">
        <v>0.99047619047619051</v>
      </c>
      <c r="AD9" s="52">
        <v>0.92481203007518797</v>
      </c>
      <c r="AE9" s="52">
        <v>0.94074074074074077</v>
      </c>
      <c r="AF9" s="52">
        <v>0.88</v>
      </c>
      <c r="AG9" s="162"/>
      <c r="AH9" s="153"/>
    </row>
    <row r="10" spans="1:34" x14ac:dyDescent="0.2">
      <c r="A10" s="179" t="s">
        <v>2</v>
      </c>
      <c r="B10" s="334"/>
      <c r="C10" s="335"/>
      <c r="D10" s="158" t="s">
        <v>10</v>
      </c>
      <c r="E10" s="20">
        <v>6</v>
      </c>
      <c r="F10" s="119">
        <v>0.7</v>
      </c>
      <c r="G10" s="186" t="s">
        <v>66</v>
      </c>
      <c r="H10" s="186" t="s">
        <v>66</v>
      </c>
      <c r="I10" s="186" t="s">
        <v>66</v>
      </c>
      <c r="J10" s="186" t="s">
        <v>66</v>
      </c>
      <c r="K10" s="186" t="s">
        <v>66</v>
      </c>
      <c r="L10" s="186" t="s">
        <v>66</v>
      </c>
      <c r="M10" s="186" t="s">
        <v>66</v>
      </c>
      <c r="N10" s="186" t="s">
        <v>66</v>
      </c>
      <c r="O10" s="186" t="s">
        <v>66</v>
      </c>
      <c r="P10" s="186" t="s">
        <v>66</v>
      </c>
      <c r="Q10" s="186" t="s">
        <v>66</v>
      </c>
      <c r="R10" s="186" t="s">
        <v>66</v>
      </c>
      <c r="S10" s="186" t="s">
        <v>66</v>
      </c>
      <c r="T10" s="186" t="s">
        <v>66</v>
      </c>
      <c r="U10" s="186" t="s">
        <v>66</v>
      </c>
      <c r="V10" s="186" t="s">
        <v>66</v>
      </c>
      <c r="W10" s="186" t="s">
        <v>66</v>
      </c>
      <c r="X10" s="186" t="s">
        <v>66</v>
      </c>
      <c r="Y10" s="186" t="s">
        <v>66</v>
      </c>
      <c r="Z10" s="186" t="s">
        <v>66</v>
      </c>
      <c r="AA10" s="186" t="s">
        <v>66</v>
      </c>
      <c r="AB10" s="186" t="s">
        <v>66</v>
      </c>
      <c r="AC10" s="186" t="s">
        <v>66</v>
      </c>
      <c r="AD10" s="186" t="s">
        <v>66</v>
      </c>
      <c r="AE10" s="186" t="s">
        <v>66</v>
      </c>
      <c r="AF10" s="186" t="s">
        <v>66</v>
      </c>
      <c r="AG10" s="162"/>
      <c r="AH10" s="153"/>
    </row>
    <row r="11" spans="1:34" x14ac:dyDescent="0.2">
      <c r="A11" s="179" t="s">
        <v>2</v>
      </c>
      <c r="B11" s="334" t="s">
        <v>70</v>
      </c>
      <c r="C11" s="335" t="s">
        <v>71</v>
      </c>
      <c r="D11" s="158" t="s">
        <v>72</v>
      </c>
      <c r="E11" s="20">
        <v>7</v>
      </c>
      <c r="F11" s="159">
        <v>0.28000000000000003</v>
      </c>
      <c r="G11" s="182">
        <v>0.29234119001555814</v>
      </c>
      <c r="H11" s="182">
        <v>0.2373483377317466</v>
      </c>
      <c r="I11" s="182">
        <v>0.26714867965586381</v>
      </c>
      <c r="J11" s="182">
        <v>0.23933395925209619</v>
      </c>
      <c r="K11" s="182">
        <v>0.21049525755983822</v>
      </c>
      <c r="L11" s="182">
        <v>0.28113348247576436</v>
      </c>
      <c r="M11" s="182">
        <v>0.30171836643606337</v>
      </c>
      <c r="N11" s="182">
        <v>0.16683350016683351</v>
      </c>
      <c r="O11" s="182">
        <v>0.48130671506352091</v>
      </c>
      <c r="P11" s="182">
        <v>0.3381653042688465</v>
      </c>
      <c r="Q11" s="182">
        <v>0.2336644095635062</v>
      </c>
      <c r="R11" s="182">
        <v>0.26694668066736671</v>
      </c>
      <c r="S11" s="182">
        <v>0.20165368320349869</v>
      </c>
      <c r="T11" s="182">
        <v>0.181424883120508</v>
      </c>
      <c r="U11" s="182">
        <v>0.1846724389898958</v>
      </c>
      <c r="V11" s="182">
        <v>0.3952280161631711</v>
      </c>
      <c r="W11" s="182">
        <v>0.25263893743446347</v>
      </c>
      <c r="X11" s="182">
        <v>0.21874434593812195</v>
      </c>
      <c r="Y11" s="182">
        <v>0.25162280184114244</v>
      </c>
      <c r="Z11" s="182">
        <v>0.27185100473778795</v>
      </c>
      <c r="AA11" s="182">
        <v>0.233669443226655</v>
      </c>
      <c r="AB11" s="182">
        <v>0.22959218065385914</v>
      </c>
      <c r="AC11" s="182">
        <v>0.1443722583152868</v>
      </c>
      <c r="AD11" s="182">
        <v>0.19771863117870722</v>
      </c>
      <c r="AE11" s="182">
        <v>0.23000151217299258</v>
      </c>
      <c r="AF11" s="182">
        <v>0.21454256406374198</v>
      </c>
      <c r="AG11" s="162"/>
      <c r="AH11" s="153"/>
    </row>
    <row r="12" spans="1:34" x14ac:dyDescent="0.2">
      <c r="A12" s="179" t="s">
        <v>2</v>
      </c>
      <c r="B12" s="334"/>
      <c r="C12" s="335"/>
      <c r="D12" s="158" t="s">
        <v>92</v>
      </c>
      <c r="E12" s="20">
        <v>8</v>
      </c>
      <c r="F12" s="159">
        <v>6.9000000000000006E-2</v>
      </c>
      <c r="G12" s="177">
        <v>7.8991374454059071E-2</v>
      </c>
      <c r="H12" s="177">
        <v>7.2807373210699411E-2</v>
      </c>
      <c r="I12" s="177">
        <v>9.0114200225504856E-2</v>
      </c>
      <c r="J12" s="177">
        <v>7.9161940190204269E-2</v>
      </c>
      <c r="K12" s="177">
        <v>5.089307560557866E-2</v>
      </c>
      <c r="L12" s="177">
        <v>0.21768015727747272</v>
      </c>
      <c r="M12" s="177">
        <v>6.1890946961243774E-2</v>
      </c>
      <c r="N12" s="177">
        <v>0</v>
      </c>
      <c r="O12" s="177">
        <v>4.7186932849364784E-3</v>
      </c>
      <c r="P12" s="177">
        <v>6.8010899182561313E-2</v>
      </c>
      <c r="Q12" s="177">
        <v>6.3653408122472388E-2</v>
      </c>
      <c r="R12" s="177">
        <v>0.10617197526542994</v>
      </c>
      <c r="S12" s="177">
        <v>7.2844061773951085E-2</v>
      </c>
      <c r="T12" s="177">
        <v>0.14513990649640637</v>
      </c>
      <c r="U12" s="177">
        <v>2.8599714002859968E-2</v>
      </c>
      <c r="V12" s="177">
        <v>9.338721057020076E-2</v>
      </c>
      <c r="W12" s="177">
        <v>2.9080740999650474E-2</v>
      </c>
      <c r="X12" s="177">
        <v>6.8210602496833722E-2</v>
      </c>
      <c r="Y12" s="177">
        <v>0.1626342499704945</v>
      </c>
      <c r="Z12" s="177">
        <v>5.6635625987039161E-2</v>
      </c>
      <c r="AA12" s="177">
        <v>3.6095279848019871E-2</v>
      </c>
      <c r="AB12" s="177">
        <v>5.1702055948769803E-2</v>
      </c>
      <c r="AC12" s="177">
        <v>3.1761896829363097E-2</v>
      </c>
      <c r="AD12" s="177">
        <v>3.1550845400857536E-2</v>
      </c>
      <c r="AE12" s="177">
        <v>9.3376682292454258E-2</v>
      </c>
      <c r="AF12" s="177">
        <v>4.6254589499981076E-2</v>
      </c>
      <c r="AG12" s="162"/>
      <c r="AH12" s="153"/>
    </row>
    <row r="13" spans="1:34" x14ac:dyDescent="0.2">
      <c r="A13" s="184" t="s">
        <v>2</v>
      </c>
      <c r="B13" s="334"/>
      <c r="C13" s="335" t="s">
        <v>77</v>
      </c>
      <c r="D13" s="158" t="s">
        <v>13</v>
      </c>
      <c r="E13" s="20">
        <v>9</v>
      </c>
      <c r="F13" s="119">
        <v>0.95</v>
      </c>
      <c r="G13" s="173">
        <v>0.98118576403635438</v>
      </c>
      <c r="H13" s="173">
        <v>0.98903859328613841</v>
      </c>
      <c r="I13" s="173">
        <v>0.98842750170183802</v>
      </c>
      <c r="J13" s="173">
        <v>0.9893554109994086</v>
      </c>
      <c r="K13" s="173">
        <v>0.98933552091878585</v>
      </c>
      <c r="L13" s="173">
        <v>0.99392097264437695</v>
      </c>
      <c r="M13" s="173">
        <v>0.9838709677419355</v>
      </c>
      <c r="N13" s="173">
        <v>0.96</v>
      </c>
      <c r="O13" s="173">
        <v>0.99065420560747663</v>
      </c>
      <c r="P13" s="173">
        <v>0.99038461538461542</v>
      </c>
      <c r="Q13" s="173">
        <v>0.99789915966386555</v>
      </c>
      <c r="R13" s="173">
        <v>0.98913043478260865</v>
      </c>
      <c r="S13" s="173">
        <v>0.99598393574297184</v>
      </c>
      <c r="T13" s="173">
        <v>1</v>
      </c>
      <c r="U13" s="173">
        <v>1</v>
      </c>
      <c r="V13" s="173">
        <v>0.95486111111111116</v>
      </c>
      <c r="W13" s="173">
        <v>1</v>
      </c>
      <c r="X13" s="173">
        <v>1</v>
      </c>
      <c r="Y13" s="173">
        <v>1</v>
      </c>
      <c r="Z13" s="173">
        <v>0.99029126213592233</v>
      </c>
      <c r="AA13" s="173">
        <v>0.98449612403100772</v>
      </c>
      <c r="AB13" s="173">
        <v>0.97899159663865543</v>
      </c>
      <c r="AC13" s="173">
        <v>1</v>
      </c>
      <c r="AD13" s="173">
        <v>1</v>
      </c>
      <c r="AE13" s="173">
        <v>0.97665369649805445</v>
      </c>
      <c r="AF13" s="173">
        <v>1</v>
      </c>
      <c r="AG13" s="168"/>
      <c r="AH13" s="153"/>
    </row>
    <row r="14" spans="1:34" x14ac:dyDescent="0.2">
      <c r="A14" s="179" t="s">
        <v>2</v>
      </c>
      <c r="B14" s="334"/>
      <c r="C14" s="335"/>
      <c r="D14" s="158" t="s">
        <v>79</v>
      </c>
      <c r="E14" s="20">
        <v>10</v>
      </c>
      <c r="F14" s="119">
        <v>0.8</v>
      </c>
      <c r="G14" s="181">
        <v>0.88950855417645081</v>
      </c>
      <c r="H14" s="181">
        <v>0.89717647058823524</v>
      </c>
      <c r="I14" s="181">
        <v>0.82496194824961944</v>
      </c>
      <c r="J14" s="181">
        <v>0.91774647887323946</v>
      </c>
      <c r="K14" s="181">
        <v>0.94745908699397074</v>
      </c>
      <c r="L14" s="181">
        <v>0.64329896907216499</v>
      </c>
      <c r="M14" s="181">
        <v>0.84177215189873422</v>
      </c>
      <c r="N14" s="181">
        <v>0.92307692307692313</v>
      </c>
      <c r="O14" s="181">
        <v>0.96103896103896103</v>
      </c>
      <c r="P14" s="181">
        <v>0.94117647058823528</v>
      </c>
      <c r="Q14" s="181">
        <v>0.96439169139465875</v>
      </c>
      <c r="R14" s="181">
        <v>0.97716894977168944</v>
      </c>
      <c r="S14" s="181">
        <v>0.90977443609022557</v>
      </c>
      <c r="T14" s="181">
        <v>0.98882681564245811</v>
      </c>
      <c r="U14" s="181">
        <v>0.96652719665271969</v>
      </c>
      <c r="V14" s="181">
        <v>0.76237623762376239</v>
      </c>
      <c r="W14" s="181">
        <v>0.98611111111111116</v>
      </c>
      <c r="X14" s="181">
        <v>0.88073394495412849</v>
      </c>
      <c r="Y14" s="181">
        <v>0.90322580645161288</v>
      </c>
      <c r="Z14" s="181">
        <v>0.88500000000000001</v>
      </c>
      <c r="AA14" s="181">
        <v>0.97029702970297027</v>
      </c>
      <c r="AB14" s="181">
        <v>0.90308370044052866</v>
      </c>
      <c r="AC14" s="181">
        <v>0.9907407407407407</v>
      </c>
      <c r="AD14" s="181">
        <v>0.97014925373134331</v>
      </c>
      <c r="AE14" s="181">
        <v>0.92418772563176899</v>
      </c>
      <c r="AF14" s="181">
        <v>0.96761133603238869</v>
      </c>
      <c r="AG14" s="174"/>
      <c r="AH14" s="174"/>
    </row>
    <row r="15" spans="1:34" x14ac:dyDescent="0.2">
      <c r="A15" s="184" t="s">
        <v>2</v>
      </c>
      <c r="B15" s="334"/>
      <c r="C15" s="335"/>
      <c r="D15" s="158" t="s">
        <v>93</v>
      </c>
      <c r="E15" s="20">
        <v>11</v>
      </c>
      <c r="F15" s="119">
        <v>0.8</v>
      </c>
      <c r="G15" s="52">
        <v>0.9204025100344847</v>
      </c>
      <c r="H15" s="52">
        <v>0.95829260345389378</v>
      </c>
      <c r="I15" s="52">
        <v>0.9597388465723613</v>
      </c>
      <c r="J15" s="52">
        <v>0.96114195083267251</v>
      </c>
      <c r="K15" s="52">
        <v>0.952755905511811</v>
      </c>
      <c r="L15" s="52">
        <v>0.97058823529411764</v>
      </c>
      <c r="M15" s="52">
        <v>0.94444444444444442</v>
      </c>
      <c r="N15" s="52">
        <v>0.92307692307692313</v>
      </c>
      <c r="O15" s="52">
        <v>0.96052631578947367</v>
      </c>
      <c r="P15" s="52">
        <v>0.94017094017094016</v>
      </c>
      <c r="Q15" s="52">
        <v>0.98062015503875966</v>
      </c>
      <c r="R15" s="52">
        <v>0.97315436241610742</v>
      </c>
      <c r="S15" s="52">
        <v>0.98369565217391308</v>
      </c>
      <c r="T15" s="52">
        <v>0.97979797979797978</v>
      </c>
      <c r="U15" s="52">
        <v>0.97549019607843135</v>
      </c>
      <c r="V15" s="52">
        <v>0.85616438356164382</v>
      </c>
      <c r="W15" s="52">
        <v>0.9921875</v>
      </c>
      <c r="X15" s="52">
        <v>0.97499999999999998</v>
      </c>
      <c r="Y15" s="52">
        <v>0.94594594594594594</v>
      </c>
      <c r="Z15" s="52">
        <v>0.96875</v>
      </c>
      <c r="AA15" s="52">
        <v>0.96341463414634143</v>
      </c>
      <c r="AB15" s="52">
        <v>0.86904761904761907</v>
      </c>
      <c r="AC15" s="52">
        <v>0.98837209302325579</v>
      </c>
      <c r="AD15" s="52">
        <v>0.99415204678362568</v>
      </c>
      <c r="AE15" s="52">
        <v>0.96153846153846156</v>
      </c>
      <c r="AF15" s="52">
        <v>0.96</v>
      </c>
      <c r="AG15" s="168"/>
      <c r="AH15" s="153"/>
    </row>
    <row r="16" spans="1:34" x14ac:dyDescent="0.2">
      <c r="A16" s="179" t="s">
        <v>2</v>
      </c>
      <c r="B16" s="334"/>
      <c r="C16" s="335"/>
      <c r="D16" s="158" t="s">
        <v>94</v>
      </c>
      <c r="E16" s="20">
        <v>12</v>
      </c>
      <c r="F16" s="119">
        <v>0.8</v>
      </c>
      <c r="G16" s="168">
        <v>0.81685338528981977</v>
      </c>
      <c r="H16" s="168">
        <v>0.75783234546994072</v>
      </c>
      <c r="I16" s="168">
        <v>0.53670886075949364</v>
      </c>
      <c r="J16" s="168">
        <v>0.83268482490272377</v>
      </c>
      <c r="K16" s="168">
        <v>0.9375</v>
      </c>
      <c r="L16" s="168">
        <v>0.36032388663967613</v>
      </c>
      <c r="M16" s="168">
        <v>0.4375</v>
      </c>
      <c r="N16" s="168">
        <v>0</v>
      </c>
      <c r="O16" s="168">
        <v>1</v>
      </c>
      <c r="P16" s="168">
        <v>0.97222222222222221</v>
      </c>
      <c r="Q16" s="168">
        <v>0.92405063291139244</v>
      </c>
      <c r="R16" s="168">
        <v>0.98571428571428577</v>
      </c>
      <c r="S16" s="168">
        <v>0.74390243902439024</v>
      </c>
      <c r="T16" s="168">
        <v>1</v>
      </c>
      <c r="U16" s="168">
        <v>0.91428571428571426</v>
      </c>
      <c r="V16" s="168">
        <v>0.5357142857142857</v>
      </c>
      <c r="W16" s="168">
        <v>0.9375</v>
      </c>
      <c r="X16" s="168">
        <v>0.72413793103448276</v>
      </c>
      <c r="Y16" s="168">
        <v>0.89622641509433965</v>
      </c>
      <c r="Z16" s="168">
        <v>0.625</v>
      </c>
      <c r="AA16" s="168">
        <v>1</v>
      </c>
      <c r="AB16" s="168">
        <v>1</v>
      </c>
      <c r="AC16" s="168">
        <v>1</v>
      </c>
      <c r="AD16" s="168">
        <v>0.8666666666666667</v>
      </c>
      <c r="AE16" s="168">
        <v>0.86315789473684212</v>
      </c>
      <c r="AF16" s="168">
        <v>1</v>
      </c>
      <c r="AG16" s="168"/>
      <c r="AH16" s="168"/>
    </row>
    <row r="17" spans="1:40" x14ac:dyDescent="0.2">
      <c r="A17" s="179" t="s">
        <v>2</v>
      </c>
      <c r="B17" s="334"/>
      <c r="C17" s="178"/>
      <c r="D17" s="158" t="s">
        <v>17</v>
      </c>
      <c r="E17" s="20">
        <v>13</v>
      </c>
      <c r="F17" s="119">
        <v>0.9</v>
      </c>
      <c r="G17" s="175">
        <v>0.85860979462875198</v>
      </c>
      <c r="H17" s="175">
        <v>0.89039312678989846</v>
      </c>
      <c r="I17" s="175">
        <v>0.87308347529812602</v>
      </c>
      <c r="J17" s="175">
        <v>0.88543689320388352</v>
      </c>
      <c r="K17" s="175">
        <v>0.9153297682709447</v>
      </c>
      <c r="L17" s="175">
        <v>0.89968652037617558</v>
      </c>
      <c r="M17" s="175">
        <v>0.88461538461538458</v>
      </c>
      <c r="N17" s="175">
        <v>0.74399999999999999</v>
      </c>
      <c r="O17" s="175">
        <v>0.84313725490196079</v>
      </c>
      <c r="P17" s="175">
        <v>0.84065934065934067</v>
      </c>
      <c r="Q17" s="175">
        <v>0.92413793103448272</v>
      </c>
      <c r="R17" s="175">
        <v>0.87428571428571433</v>
      </c>
      <c r="S17" s="175">
        <v>0.87665198237885467</v>
      </c>
      <c r="T17" s="175">
        <v>0.85</v>
      </c>
      <c r="U17" s="175">
        <v>0.95132743362831862</v>
      </c>
      <c r="V17" s="175">
        <v>0.84033613445378152</v>
      </c>
      <c r="W17" s="175">
        <v>0.91176470588235292</v>
      </c>
      <c r="X17" s="175">
        <v>0.89010989010989006</v>
      </c>
      <c r="Y17" s="175">
        <v>0.87421383647798745</v>
      </c>
      <c r="Z17" s="175">
        <v>0.89119170984455964</v>
      </c>
      <c r="AA17" s="175">
        <v>0.93965517241379315</v>
      </c>
      <c r="AB17" s="175">
        <v>0.89230769230769225</v>
      </c>
      <c r="AC17" s="175">
        <v>0.94897959183673475</v>
      </c>
      <c r="AD17" s="175">
        <v>0.95454545454545459</v>
      </c>
      <c r="AE17" s="175">
        <v>0.86956521739130432</v>
      </c>
      <c r="AF17" s="175">
        <v>0.92727272727272725</v>
      </c>
      <c r="AG17" s="162"/>
      <c r="AH17" s="153"/>
    </row>
    <row r="18" spans="1:40" x14ac:dyDescent="0.2">
      <c r="A18" s="179" t="s">
        <v>2</v>
      </c>
      <c r="B18" s="334"/>
      <c r="C18" s="334" t="s">
        <v>83</v>
      </c>
      <c r="D18" s="118" t="s">
        <v>18</v>
      </c>
      <c r="E18" s="20">
        <v>14</v>
      </c>
      <c r="F18" s="119">
        <v>0.86</v>
      </c>
      <c r="G18" s="176">
        <v>0.87751337391625162</v>
      </c>
      <c r="H18" s="176">
        <v>0.87929433611884866</v>
      </c>
      <c r="I18" s="176">
        <v>0.90625</v>
      </c>
      <c r="J18" s="176">
        <v>0.87090163934426235</v>
      </c>
      <c r="K18" s="176">
        <v>0.86710963455149503</v>
      </c>
      <c r="L18" s="176">
        <v>0.91228070175438591</v>
      </c>
      <c r="M18" s="176">
        <v>0.97058823529411764</v>
      </c>
      <c r="N18" s="176">
        <v>0.91891891891891897</v>
      </c>
      <c r="O18" s="176">
        <v>0.8571428571428571</v>
      </c>
      <c r="P18" s="176">
        <v>0.91489361702127658</v>
      </c>
      <c r="Q18" s="176">
        <v>0.85507246376811596</v>
      </c>
      <c r="R18" s="176">
        <v>0.84375</v>
      </c>
      <c r="S18" s="176">
        <v>0.890625</v>
      </c>
      <c r="T18" s="176">
        <v>0.8125</v>
      </c>
      <c r="U18" s="176">
        <v>0.8441558441558441</v>
      </c>
      <c r="V18" s="176">
        <v>0.8571428571428571</v>
      </c>
      <c r="W18" s="176">
        <v>0.90909090909090906</v>
      </c>
      <c r="X18" s="176">
        <v>0.9242424242424242</v>
      </c>
      <c r="Y18" s="176">
        <v>0.92063492063492058</v>
      </c>
      <c r="Z18" s="176">
        <v>0.79411764705882348</v>
      </c>
      <c r="AA18" s="176">
        <v>0.77777777777777779</v>
      </c>
      <c r="AB18" s="176">
        <v>0.89610389610389607</v>
      </c>
      <c r="AC18" s="176">
        <v>0.75</v>
      </c>
      <c r="AD18" s="176">
        <v>0.92307692307692313</v>
      </c>
      <c r="AE18" s="176">
        <v>0.91666666666666663</v>
      </c>
      <c r="AF18" s="176">
        <v>0.82692307692307687</v>
      </c>
      <c r="AG18" s="166"/>
      <c r="AH18" s="154"/>
      <c r="AI18" s="164"/>
      <c r="AJ18" s="164"/>
      <c r="AK18" s="164"/>
      <c r="AL18" s="164"/>
      <c r="AM18" s="164"/>
      <c r="AN18" s="164"/>
    </row>
    <row r="19" spans="1:40" x14ac:dyDescent="0.2">
      <c r="A19" s="179" t="s">
        <v>2</v>
      </c>
      <c r="B19" s="334"/>
      <c r="C19" s="334"/>
      <c r="D19" s="118" t="s">
        <v>19</v>
      </c>
      <c r="E19" s="20">
        <v>15</v>
      </c>
      <c r="F19" s="119">
        <v>0.75</v>
      </c>
      <c r="G19" s="176">
        <v>0.77762403637082422</v>
      </c>
      <c r="H19" s="176">
        <v>0.84578079534432593</v>
      </c>
      <c r="I19" s="176">
        <v>0.83768115942028987</v>
      </c>
      <c r="J19" s="176">
        <v>0.88787185354691078</v>
      </c>
      <c r="K19" s="176">
        <v>0.7831325301204819</v>
      </c>
      <c r="L19" s="176">
        <v>0.88235294117647056</v>
      </c>
      <c r="M19" s="176">
        <v>0.73333333333333328</v>
      </c>
      <c r="N19" s="176">
        <v>0.7142857142857143</v>
      </c>
      <c r="O19" s="176">
        <v>0.73913043478260865</v>
      </c>
      <c r="P19" s="176">
        <v>0.98076923076923073</v>
      </c>
      <c r="Q19" s="176">
        <v>0.82291666666666663</v>
      </c>
      <c r="R19" s="176">
        <v>0.92727272727272725</v>
      </c>
      <c r="S19" s="176">
        <v>0.98461538461538467</v>
      </c>
      <c r="T19" s="176">
        <v>0.90476190476190477</v>
      </c>
      <c r="U19" s="176">
        <v>0.91860465116279066</v>
      </c>
      <c r="V19" s="176">
        <v>0.77192982456140347</v>
      </c>
      <c r="W19" s="176">
        <v>0.80701754385964908</v>
      </c>
      <c r="X19" s="176">
        <v>0.96</v>
      </c>
      <c r="Y19" s="176">
        <v>0.8571428571428571</v>
      </c>
      <c r="Z19" s="176">
        <v>0.86111111111111116</v>
      </c>
      <c r="AA19" s="176">
        <v>0.88095238095238093</v>
      </c>
      <c r="AB19" s="176">
        <v>0.57999999999999996</v>
      </c>
      <c r="AC19" s="176">
        <v>0.90476190476190477</v>
      </c>
      <c r="AD19" s="176">
        <v>0.81395348837209303</v>
      </c>
      <c r="AE19" s="176">
        <v>0.78260869565217395</v>
      </c>
      <c r="AF19" s="176">
        <v>0.82978723404255317</v>
      </c>
      <c r="AG19" s="176"/>
      <c r="AH19" s="153"/>
    </row>
    <row r="20" spans="1:40" x14ac:dyDescent="0.2">
      <c r="A20" s="185" t="s">
        <v>3</v>
      </c>
      <c r="B20" s="153"/>
      <c r="C20" s="331" t="s">
        <v>84</v>
      </c>
      <c r="D20" s="180" t="s">
        <v>95</v>
      </c>
      <c r="E20" s="20">
        <v>16</v>
      </c>
      <c r="F20" s="119">
        <v>0.85</v>
      </c>
      <c r="G20" s="183">
        <v>0.8152866242038217</v>
      </c>
      <c r="H20" s="183">
        <v>0.91666666666666663</v>
      </c>
      <c r="I20" s="183">
        <v>0.8</v>
      </c>
      <c r="J20" s="183">
        <v>1</v>
      </c>
      <c r="K20" s="183">
        <v>1</v>
      </c>
      <c r="L20" s="183">
        <v>0.5</v>
      </c>
      <c r="M20" s="183">
        <v>1</v>
      </c>
      <c r="N20" s="183">
        <v>1</v>
      </c>
      <c r="O20" s="183"/>
      <c r="P20" s="183">
        <v>1</v>
      </c>
      <c r="Q20" s="183">
        <v>0.83333333333333337</v>
      </c>
      <c r="R20" s="183">
        <v>1</v>
      </c>
      <c r="S20" s="183"/>
      <c r="T20" s="183">
        <v>1</v>
      </c>
      <c r="U20" s="183">
        <v>1</v>
      </c>
      <c r="V20" s="183">
        <v>1</v>
      </c>
      <c r="W20" s="183">
        <v>1</v>
      </c>
      <c r="X20" s="183">
        <v>1</v>
      </c>
      <c r="Y20" s="183"/>
      <c r="Z20" s="183">
        <v>1</v>
      </c>
      <c r="AA20" s="183">
        <v>1</v>
      </c>
      <c r="AB20" s="183"/>
      <c r="AC20" s="183"/>
      <c r="AD20" s="183">
        <v>1</v>
      </c>
      <c r="AE20" s="183">
        <v>1</v>
      </c>
      <c r="AF20" s="183">
        <v>1</v>
      </c>
      <c r="AG20" s="176"/>
      <c r="AH20" s="153"/>
    </row>
    <row r="21" spans="1:40" x14ac:dyDescent="0.2">
      <c r="A21" s="185" t="s">
        <v>3</v>
      </c>
      <c r="B21" s="153"/>
      <c r="C21" s="332"/>
      <c r="D21" s="180" t="s">
        <v>96</v>
      </c>
      <c r="E21" s="20">
        <v>17</v>
      </c>
      <c r="F21" s="119">
        <v>0.95</v>
      </c>
      <c r="G21" s="173">
        <v>0.98</v>
      </c>
      <c r="H21" s="173">
        <v>0.92307692307692313</v>
      </c>
      <c r="I21" s="173">
        <v>1</v>
      </c>
      <c r="J21" s="173">
        <v>0.75</v>
      </c>
      <c r="K21" s="173">
        <v>1</v>
      </c>
      <c r="L21" s="173"/>
      <c r="M21" s="173">
        <v>1</v>
      </c>
      <c r="N21" s="173"/>
      <c r="O21" s="173"/>
      <c r="P21" s="173"/>
      <c r="Q21" s="173">
        <v>1</v>
      </c>
      <c r="R21" s="173"/>
      <c r="S21" s="173">
        <v>1</v>
      </c>
      <c r="T21" s="173"/>
      <c r="U21" s="173">
        <v>1</v>
      </c>
      <c r="V21" s="173"/>
      <c r="W21" s="173"/>
      <c r="X21" s="173">
        <v>1</v>
      </c>
      <c r="Y21" s="173">
        <v>0</v>
      </c>
      <c r="Z21" s="173"/>
      <c r="AA21" s="173">
        <v>1</v>
      </c>
      <c r="AB21" s="173"/>
      <c r="AC21" s="173">
        <v>1</v>
      </c>
      <c r="AD21" s="173"/>
      <c r="AE21" s="173"/>
      <c r="AF21" s="173"/>
      <c r="AG21" s="176"/>
      <c r="AH21" s="153"/>
    </row>
    <row r="22" spans="1:40" x14ac:dyDescent="0.2">
      <c r="A22" s="185" t="s">
        <v>3</v>
      </c>
      <c r="B22" s="153"/>
      <c r="C22" s="332"/>
      <c r="D22" s="180" t="s">
        <v>97</v>
      </c>
      <c r="E22" s="20">
        <v>18</v>
      </c>
      <c r="F22" s="119">
        <v>0.77</v>
      </c>
      <c r="G22" s="173">
        <v>0.89351851851851849</v>
      </c>
      <c r="H22" s="173">
        <v>0.92105263157894735</v>
      </c>
      <c r="I22" s="173">
        <v>1</v>
      </c>
      <c r="J22" s="173">
        <v>0.85</v>
      </c>
      <c r="K22" s="173">
        <v>1</v>
      </c>
      <c r="L22" s="173">
        <v>1</v>
      </c>
      <c r="M22" s="173">
        <v>1</v>
      </c>
      <c r="N22" s="173">
        <v>1</v>
      </c>
      <c r="O22" s="173">
        <v>1</v>
      </c>
      <c r="P22" s="173"/>
      <c r="Q22" s="173">
        <v>1</v>
      </c>
      <c r="R22" s="173">
        <v>1</v>
      </c>
      <c r="S22" s="173"/>
      <c r="T22" s="173">
        <v>0.5</v>
      </c>
      <c r="U22" s="173">
        <v>0.8</v>
      </c>
      <c r="V22" s="173">
        <v>1</v>
      </c>
      <c r="W22" s="173">
        <v>1</v>
      </c>
      <c r="X22" s="173"/>
      <c r="Y22" s="173">
        <v>1</v>
      </c>
      <c r="Z22" s="173"/>
      <c r="AA22" s="173">
        <v>1</v>
      </c>
      <c r="AB22" s="173">
        <v>1</v>
      </c>
      <c r="AC22" s="173">
        <v>1</v>
      </c>
      <c r="AD22" s="173"/>
      <c r="AE22" s="173"/>
      <c r="AF22" s="173"/>
      <c r="AG22" s="176"/>
      <c r="AH22" s="153"/>
    </row>
    <row r="23" spans="1:40" x14ac:dyDescent="0.2">
      <c r="A23" s="185" t="s">
        <v>3</v>
      </c>
      <c r="B23" s="153"/>
      <c r="C23" s="333"/>
      <c r="D23" s="180" t="s">
        <v>98</v>
      </c>
      <c r="E23" s="20">
        <v>19</v>
      </c>
      <c r="F23" s="119">
        <v>0.95</v>
      </c>
      <c r="G23" s="173">
        <v>0.88278388278388276</v>
      </c>
      <c r="H23" s="173">
        <v>0.91836734693877553</v>
      </c>
      <c r="I23" s="173">
        <v>1</v>
      </c>
      <c r="J23" s="173">
        <v>0.875</v>
      </c>
      <c r="K23" s="173">
        <v>0.94117647058823528</v>
      </c>
      <c r="L23" s="173">
        <v>1</v>
      </c>
      <c r="M23" s="173">
        <v>1</v>
      </c>
      <c r="N23" s="173">
        <v>1</v>
      </c>
      <c r="O23" s="173">
        <v>1</v>
      </c>
      <c r="P23" s="173"/>
      <c r="Q23" s="173">
        <v>1</v>
      </c>
      <c r="R23" s="173">
        <v>1</v>
      </c>
      <c r="S23" s="173"/>
      <c r="T23" s="173">
        <v>0.66666666666666663</v>
      </c>
      <c r="U23" s="173">
        <v>0.8</v>
      </c>
      <c r="V23" s="173">
        <v>1</v>
      </c>
      <c r="W23" s="173">
        <v>1</v>
      </c>
      <c r="X23" s="173"/>
      <c r="Y23" s="173">
        <v>1</v>
      </c>
      <c r="Z23" s="173"/>
      <c r="AA23" s="173">
        <v>1</v>
      </c>
      <c r="AB23" s="173">
        <v>1</v>
      </c>
      <c r="AC23" s="173">
        <v>1</v>
      </c>
      <c r="AD23" s="173">
        <v>0.5</v>
      </c>
      <c r="AE23" s="173"/>
      <c r="AF23" s="173"/>
      <c r="AG23" s="176"/>
      <c r="AH23" s="153"/>
    </row>
  </sheetData>
  <mergeCells count="20">
    <mergeCell ref="AG3:AH3"/>
    <mergeCell ref="F2:F3"/>
    <mergeCell ref="G2:G3"/>
    <mergeCell ref="H2:K2"/>
    <mergeCell ref="AA2:AF2"/>
    <mergeCell ref="B17:B19"/>
    <mergeCell ref="C18:C19"/>
    <mergeCell ref="A2:A3"/>
    <mergeCell ref="B2:B3"/>
    <mergeCell ref="C2:C3"/>
    <mergeCell ref="B4:B10"/>
    <mergeCell ref="C5:C10"/>
    <mergeCell ref="B11:B16"/>
    <mergeCell ref="C11:C12"/>
    <mergeCell ref="C13:C16"/>
    <mergeCell ref="C20:C23"/>
    <mergeCell ref="D2:D3"/>
    <mergeCell ref="E2:E3"/>
    <mergeCell ref="L2:Q2"/>
    <mergeCell ref="R2:Z2"/>
  </mergeCells>
  <conditionalFormatting sqref="G11">
    <cfRule type="cellIs" dxfId="693" priority="207" operator="greaterThan">
      <formula>0.28</formula>
    </cfRule>
    <cfRule type="cellIs" dxfId="692" priority="208" operator="lessThanOrEqual">
      <formula>0.28</formula>
    </cfRule>
  </conditionalFormatting>
  <conditionalFormatting sqref="G12">
    <cfRule type="cellIs" dxfId="691" priority="104" operator="lessThanOrEqual">
      <formula>0.069</formula>
    </cfRule>
    <cfRule type="cellIs" dxfId="690" priority="103" operator="greaterThan">
      <formula>0.069</formula>
    </cfRule>
  </conditionalFormatting>
  <conditionalFormatting sqref="G11:L12">
    <cfRule type="cellIs" dxfId="689" priority="82" operator="equal">
      <formula>"-"</formula>
    </cfRule>
  </conditionalFormatting>
  <conditionalFormatting sqref="G11:N11">
    <cfRule type="containsBlanks" dxfId="688" priority="180">
      <formula>LEN(TRIM(G11))=0</formula>
    </cfRule>
  </conditionalFormatting>
  <conditionalFormatting sqref="G4:AF4">
    <cfRule type="cellIs" dxfId="687" priority="4172" operator="equal">
      <formula>"-"</formula>
    </cfRule>
    <cfRule type="cellIs" dxfId="686" priority="4175" operator="lessThanOrEqual">
      <formula>0.28</formula>
    </cfRule>
    <cfRule type="cellIs" dxfId="685" priority="4174" operator="greaterThan">
      <formula>0.28</formula>
    </cfRule>
    <cfRule type="containsBlanks" dxfId="684" priority="4173">
      <formula>LEN(TRIM(G4))=0</formula>
    </cfRule>
  </conditionalFormatting>
  <conditionalFormatting sqref="G5:AF5">
    <cfRule type="cellIs" dxfId="683" priority="315" operator="greaterThanOrEqual">
      <formula>0.9</formula>
    </cfRule>
    <cfRule type="cellIs" dxfId="682" priority="314" operator="lessThan">
      <formula>0.9</formula>
    </cfRule>
    <cfRule type="containsBlanks" dxfId="681" priority="324">
      <formula>LEN(TRIM(G5))=0</formula>
    </cfRule>
  </conditionalFormatting>
  <conditionalFormatting sqref="G6:AF6">
    <cfRule type="containsBlanks" dxfId="680" priority="209">
      <formula>LEN(TRIM(G6))=0</formula>
    </cfRule>
    <cfRule type="cellIs" dxfId="679" priority="210" operator="lessThan">
      <formula>0.95</formula>
    </cfRule>
    <cfRule type="cellIs" dxfId="678" priority="211" operator="greaterThanOrEqual">
      <formula>0.95</formula>
    </cfRule>
  </conditionalFormatting>
  <conditionalFormatting sqref="G6:AF7">
    <cfRule type="cellIs" dxfId="677" priority="316" operator="equal">
      <formula>"-"</formula>
    </cfRule>
  </conditionalFormatting>
  <conditionalFormatting sqref="G7:AF7">
    <cfRule type="containsBlanks" dxfId="676" priority="317">
      <formula>LEN(TRIM(G7))=0</formula>
    </cfRule>
    <cfRule type="cellIs" dxfId="675" priority="318" operator="greaterThan">
      <formula>0.04</formula>
    </cfRule>
    <cfRule type="cellIs" dxfId="674" priority="323" operator="lessThanOrEqual">
      <formula>0.04</formula>
    </cfRule>
  </conditionalFormatting>
  <conditionalFormatting sqref="G9:AF9">
    <cfRule type="containsBlanks" dxfId="673" priority="299">
      <formula>LEN(TRIM(G9))=0</formula>
    </cfRule>
    <cfRule type="cellIs" dxfId="672" priority="300" operator="lessThan">
      <formula>0.9</formula>
    </cfRule>
    <cfRule type="cellIs" dxfId="671" priority="293" operator="greaterThanOrEqual">
      <formula>0.9</formula>
    </cfRule>
  </conditionalFormatting>
  <conditionalFormatting sqref="G9:AF10">
    <cfRule type="cellIs" dxfId="670" priority="319" operator="equal">
      <formula>"-"</formula>
    </cfRule>
  </conditionalFormatting>
  <conditionalFormatting sqref="G10:AF10">
    <cfRule type="cellIs" dxfId="669" priority="322" operator="lessThanOrEqual">
      <formula>0.28</formula>
    </cfRule>
    <cfRule type="cellIs" dxfId="668" priority="321" operator="greaterThan">
      <formula>0.28</formula>
    </cfRule>
    <cfRule type="containsBlanks" dxfId="667" priority="320">
      <formula>LEN(TRIM(G10))=0</formula>
    </cfRule>
  </conditionalFormatting>
  <conditionalFormatting sqref="G12:AF12">
    <cfRule type="containsBlanks" dxfId="666" priority="1">
      <formula>LEN(TRIM(G12))=0</formula>
    </cfRule>
  </conditionalFormatting>
  <conditionalFormatting sqref="G13:AF13">
    <cfRule type="cellIs" dxfId="665" priority="290" stopIfTrue="1" operator="greaterThanOrEqual">
      <formula>0.95</formula>
    </cfRule>
    <cfRule type="cellIs" dxfId="664" priority="327" stopIfTrue="1" operator="lessThan">
      <formula>0.95</formula>
    </cfRule>
    <cfRule type="containsBlanks" dxfId="663" priority="289">
      <formula>LEN(TRIM(G13))=0</formula>
    </cfRule>
  </conditionalFormatting>
  <conditionalFormatting sqref="G14:AF14">
    <cfRule type="cellIs" dxfId="662" priority="213" operator="lessThan">
      <formula>0.8</formula>
    </cfRule>
    <cfRule type="cellIs" dxfId="661" priority="214" operator="greaterThanOrEqual">
      <formula>0.8</formula>
    </cfRule>
    <cfRule type="containsBlanks" dxfId="660" priority="212">
      <formula>LEN(TRIM(G14))=0</formula>
    </cfRule>
  </conditionalFormatting>
  <conditionalFormatting sqref="G17:AF17">
    <cfRule type="cellIs" dxfId="659" priority="260" operator="lessThan">
      <formula>0.9</formula>
    </cfRule>
    <cfRule type="cellIs" dxfId="658" priority="261" operator="greaterThanOrEqual">
      <formula>0.9</formula>
    </cfRule>
  </conditionalFormatting>
  <conditionalFormatting sqref="G17:AF19">
    <cfRule type="containsBlanks" dxfId="657" priority="238">
      <formula>LEN(TRIM(G17))=0</formula>
    </cfRule>
  </conditionalFormatting>
  <conditionalFormatting sqref="G18:AF18">
    <cfRule type="cellIs" dxfId="656" priority="249" operator="lessThan">
      <formula>0.86</formula>
    </cfRule>
    <cfRule type="cellIs" dxfId="655" priority="250" operator="greaterThanOrEqual">
      <formula>0.86</formula>
    </cfRule>
    <cfRule type="cellIs" dxfId="654" priority="248" operator="equal">
      <formula>"-"</formula>
    </cfRule>
  </conditionalFormatting>
  <conditionalFormatting sqref="G19:AF19">
    <cfRule type="cellIs" dxfId="653" priority="240" operator="greaterThanOrEqual">
      <formula>0.75</formula>
    </cfRule>
    <cfRule type="cellIs" dxfId="652" priority="239" operator="lessThan">
      <formula>0.75</formula>
    </cfRule>
  </conditionalFormatting>
  <conditionalFormatting sqref="G20:AF20">
    <cfRule type="cellIs" dxfId="651" priority="231" stopIfTrue="1" operator="greaterThanOrEqual">
      <formula>0.85</formula>
    </cfRule>
    <cfRule type="cellIs" dxfId="650" priority="234" stopIfTrue="1" operator="lessThan">
      <formula>0.85</formula>
    </cfRule>
  </conditionalFormatting>
  <conditionalFormatting sqref="G20:AF23">
    <cfRule type="containsBlanks" dxfId="649" priority="224">
      <formula>LEN(TRIM(G20))=0</formula>
    </cfRule>
  </conditionalFormatting>
  <conditionalFormatting sqref="G21:AF21">
    <cfRule type="cellIs" dxfId="648" priority="329" stopIfTrue="1" operator="lessThan">
      <formula>0.95</formula>
    </cfRule>
    <cfRule type="cellIs" dxfId="647" priority="229" stopIfTrue="1" operator="greaterThanOrEqual">
      <formula>0.95</formula>
    </cfRule>
  </conditionalFormatting>
  <conditionalFormatting sqref="G22:AF22">
    <cfRule type="cellIs" dxfId="646" priority="227" stopIfTrue="1" operator="greaterThanOrEqual">
      <formula>0.77</formula>
    </cfRule>
    <cfRule type="cellIs" dxfId="645" priority="330" stopIfTrue="1" operator="lessThan">
      <formula>0.77</formula>
    </cfRule>
  </conditionalFormatting>
  <conditionalFormatting sqref="G23:AF23">
    <cfRule type="cellIs" dxfId="644" priority="225" stopIfTrue="1" operator="greaterThanOrEqual">
      <formula>0.95</formula>
    </cfRule>
    <cfRule type="cellIs" dxfId="643" priority="331" stopIfTrue="1" operator="lessThan">
      <formula>0.95</formula>
    </cfRule>
  </conditionalFormatting>
  <conditionalFormatting sqref="G8:AG8">
    <cfRule type="cellIs" dxfId="642" priority="305" operator="lessThanOrEqual">
      <formula>0.11</formula>
    </cfRule>
    <cfRule type="cellIs" dxfId="641" priority="304" operator="greaterThan">
      <formula>0.11</formula>
    </cfRule>
    <cfRule type="containsBlanks" dxfId="640" priority="303">
      <formula>LEN(TRIM(G8))=0</formula>
    </cfRule>
    <cfRule type="cellIs" dxfId="639" priority="302" operator="equal">
      <formula>"-"</formula>
    </cfRule>
  </conditionalFormatting>
  <conditionalFormatting sqref="G15:AG15">
    <cfRule type="cellIs" dxfId="638" priority="282" operator="greaterThanOrEqual">
      <formula>0.8</formula>
    </cfRule>
    <cfRule type="containsBlanks" dxfId="637" priority="280">
      <formula>LEN(TRIM(G15))=0</formula>
    </cfRule>
    <cfRule type="cellIs" dxfId="636" priority="281" operator="lessThan">
      <formula>0.8</formula>
    </cfRule>
  </conditionalFormatting>
  <conditionalFormatting sqref="G14:AH14">
    <cfRule type="cellIs" dxfId="635" priority="215" operator="equal">
      <formula>"-"</formula>
    </cfRule>
  </conditionalFormatting>
  <conditionalFormatting sqref="G16:AH16">
    <cfRule type="cellIs" dxfId="634" priority="268" operator="equal">
      <formula>"-"</formula>
    </cfRule>
    <cfRule type="containsBlanks" dxfId="633" priority="269">
      <formula>LEN(TRIM(G16))=0</formula>
    </cfRule>
    <cfRule type="cellIs" dxfId="632" priority="271" operator="greaterThanOrEqual">
      <formula>0.75</formula>
    </cfRule>
    <cfRule type="cellIs" dxfId="631" priority="270" operator="lessThan">
      <formula>0.75</formula>
    </cfRule>
  </conditionalFormatting>
  <conditionalFormatting sqref="H11">
    <cfRule type="cellIs" dxfId="630" priority="200" operator="greaterThan">
      <formula>0.27</formula>
    </cfRule>
    <cfRule type="cellIs" dxfId="629" priority="201" operator="lessThanOrEqual">
      <formula>0.27</formula>
    </cfRule>
  </conditionalFormatting>
  <conditionalFormatting sqref="H12">
    <cfRule type="cellIs" dxfId="628" priority="100" operator="lessThanOrEqual">
      <formula>0.064</formula>
    </cfRule>
    <cfRule type="cellIs" dxfId="627" priority="99" operator="greaterThan">
      <formula>0.064</formula>
    </cfRule>
  </conditionalFormatting>
  <conditionalFormatting sqref="H9:AF9">
    <cfRule type="containsBlanks" dxfId="626" priority="291">
      <formula>LEN(TRIM(H9))=0</formula>
    </cfRule>
    <cfRule type="cellIs" dxfId="625" priority="292" operator="lessThan">
      <formula>0.9</formula>
    </cfRule>
    <cfRule type="cellIs" dxfId="624" priority="294" operator="equal">
      <formula>"-"</formula>
    </cfRule>
  </conditionalFormatting>
  <conditionalFormatting sqref="H20:AF20">
    <cfRule type="cellIs" dxfId="623" priority="233" stopIfTrue="1" operator="greaterThanOrEqual">
      <formula>0.85</formula>
    </cfRule>
    <cfRule type="containsBlanks" dxfId="622" priority="232">
      <formula>LEN(TRIM(H20))=0</formula>
    </cfRule>
  </conditionalFormatting>
  <conditionalFormatting sqref="I11">
    <cfRule type="cellIs" dxfId="621" priority="204" operator="lessThanOrEqual">
      <formula>0.29</formula>
    </cfRule>
    <cfRule type="cellIs" dxfId="620" priority="203" operator="greaterThan">
      <formula>0.29</formula>
    </cfRule>
  </conditionalFormatting>
  <conditionalFormatting sqref="I12">
    <cfRule type="cellIs" dxfId="619" priority="95" operator="greaterThan">
      <formula>0.0634</formula>
    </cfRule>
    <cfRule type="cellIs" dxfId="618" priority="96" operator="lessThanOrEqual">
      <formula>0.0634</formula>
    </cfRule>
  </conditionalFormatting>
  <conditionalFormatting sqref="J11">
    <cfRule type="cellIs" dxfId="617" priority="195" operator="greaterThan">
      <formula>0.3</formula>
    </cfRule>
    <cfRule type="cellIs" dxfId="616" priority="196" operator="lessThanOrEqual">
      <formula>0.3</formula>
    </cfRule>
  </conditionalFormatting>
  <conditionalFormatting sqref="J12">
    <cfRule type="cellIs" dxfId="615" priority="92" operator="lessThanOrEqual">
      <formula>0.0733</formula>
    </cfRule>
    <cfRule type="cellIs" dxfId="614" priority="91" operator="greaterThan">
      <formula>0.0733</formula>
    </cfRule>
  </conditionalFormatting>
  <conditionalFormatting sqref="K11">
    <cfRule type="cellIs" dxfId="613" priority="191" operator="greaterThan">
      <formula>0.23</formula>
    </cfRule>
    <cfRule type="cellIs" dxfId="612" priority="192" operator="lessThanOrEqual">
      <formula>0.23</formula>
    </cfRule>
  </conditionalFormatting>
  <conditionalFormatting sqref="K12">
    <cfRule type="cellIs" dxfId="611" priority="87" operator="greaterThan">
      <formula>0.0553</formula>
    </cfRule>
    <cfRule type="cellIs" dxfId="610" priority="88" operator="lessThanOrEqual">
      <formula>0.0553</formula>
    </cfRule>
  </conditionalFormatting>
  <conditionalFormatting sqref="L11">
    <cfRule type="cellIs" dxfId="609" priority="187" operator="greaterThan">
      <formula>0.27</formula>
    </cfRule>
    <cfRule type="cellIs" dxfId="608" priority="188" operator="lessThanOrEqual">
      <formula>0.27</formula>
    </cfRule>
  </conditionalFormatting>
  <conditionalFormatting sqref="L12">
    <cfRule type="cellIs" dxfId="607" priority="83" operator="greaterThan">
      <formula>0.0878</formula>
    </cfRule>
    <cfRule type="cellIs" dxfId="606" priority="84" operator="lessThanOrEqual">
      <formula>0.0878</formula>
    </cfRule>
  </conditionalFormatting>
  <conditionalFormatting sqref="M11">
    <cfRule type="cellIs" dxfId="605" priority="178" operator="equal">
      <formula>"-"</formula>
    </cfRule>
  </conditionalFormatting>
  <conditionalFormatting sqref="M12">
    <cfRule type="cellIs" dxfId="604" priority="79" operator="greaterThan">
      <formula>0.064</formula>
    </cfRule>
    <cfRule type="cellIs" dxfId="603" priority="80" operator="lessThanOrEqual">
      <formula>0.064</formula>
    </cfRule>
  </conditionalFormatting>
  <conditionalFormatting sqref="M11:N11">
    <cfRule type="cellIs" dxfId="602" priority="181" operator="greaterThan">
      <formula>0.29</formula>
    </cfRule>
    <cfRule type="cellIs" dxfId="601" priority="182" operator="lessThanOrEqual">
      <formula>0.29</formula>
    </cfRule>
  </conditionalFormatting>
  <conditionalFormatting sqref="M12:AF12">
    <cfRule type="cellIs" dxfId="600" priority="2" operator="equal">
      <formula>"-"</formula>
    </cfRule>
  </conditionalFormatting>
  <conditionalFormatting sqref="N12:O12">
    <cfRule type="cellIs" dxfId="599" priority="71" operator="greaterThan">
      <formula>0.04</formula>
    </cfRule>
    <cfRule type="cellIs" dxfId="598" priority="72" operator="lessThanOrEqual">
      <formula>0.04</formula>
    </cfRule>
  </conditionalFormatting>
  <conditionalFormatting sqref="N11:AF11">
    <cfRule type="cellIs" dxfId="597" priority="105" operator="equal">
      <formula>"-"</formula>
    </cfRule>
  </conditionalFormatting>
  <conditionalFormatting sqref="O11">
    <cfRule type="cellIs" dxfId="596" priority="176" operator="lessThanOrEqual">
      <formula>0.33</formula>
    </cfRule>
    <cfRule type="cellIs" dxfId="595" priority="175" operator="greaterThan">
      <formula>0.33</formula>
    </cfRule>
  </conditionalFormatting>
  <conditionalFormatting sqref="O11:AF11">
    <cfRule type="containsBlanks" dxfId="594" priority="106">
      <formula>LEN(TRIM(O11))=0</formula>
    </cfRule>
  </conditionalFormatting>
  <conditionalFormatting sqref="P11">
    <cfRule type="cellIs" dxfId="593" priority="172" operator="lessThanOrEqual">
      <formula>0.29</formula>
    </cfRule>
    <cfRule type="cellIs" dxfId="592" priority="171" operator="greaterThan">
      <formula>0.29</formula>
    </cfRule>
  </conditionalFormatting>
  <conditionalFormatting sqref="P12">
    <cfRule type="cellIs" dxfId="591" priority="68" operator="lessThanOrEqual">
      <formula>0.0575</formula>
    </cfRule>
    <cfRule type="cellIs" dxfId="590" priority="67" operator="greaterThan">
      <formula>0.0575</formula>
    </cfRule>
  </conditionalFormatting>
  <conditionalFormatting sqref="Q11">
    <cfRule type="cellIs" dxfId="589" priority="168" operator="lessThanOrEqual">
      <formula>0.27</formula>
    </cfRule>
    <cfRule type="cellIs" dxfId="588" priority="167" operator="greaterThan">
      <formula>0.27</formula>
    </cfRule>
  </conditionalFormatting>
  <conditionalFormatting sqref="Q12">
    <cfRule type="cellIs" dxfId="587" priority="63" operator="greaterThan">
      <formula>0.0911</formula>
    </cfRule>
    <cfRule type="cellIs" dxfId="586" priority="64" operator="lessThanOrEqual">
      <formula>0.0911</formula>
    </cfRule>
  </conditionalFormatting>
  <conditionalFormatting sqref="R11">
    <cfRule type="cellIs" dxfId="585" priority="164" operator="lessThanOrEqual">
      <formula>0.32</formula>
    </cfRule>
    <cfRule type="cellIs" dxfId="584" priority="163" operator="greaterThan">
      <formula>0.32</formula>
    </cfRule>
  </conditionalFormatting>
  <conditionalFormatting sqref="R12">
    <cfRule type="cellIs" dxfId="583" priority="60" operator="lessThanOrEqual">
      <formula>0.0617</formula>
    </cfRule>
    <cfRule type="cellIs" dxfId="582" priority="59" operator="greaterThan">
      <formula>0.0617</formula>
    </cfRule>
  </conditionalFormatting>
  <conditionalFormatting sqref="S11">
    <cfRule type="cellIs" dxfId="581" priority="160" operator="lessThanOrEqual">
      <formula>0.27</formula>
    </cfRule>
    <cfRule type="cellIs" dxfId="580" priority="159" operator="greaterThan">
      <formula>0.27</formula>
    </cfRule>
  </conditionalFormatting>
  <conditionalFormatting sqref="S12">
    <cfRule type="cellIs" dxfId="579" priority="55" operator="greaterThan">
      <formula>0.0549</formula>
    </cfRule>
    <cfRule type="cellIs" dxfId="578" priority="56" operator="lessThanOrEqual">
      <formula>0.0549</formula>
    </cfRule>
  </conditionalFormatting>
  <conditionalFormatting sqref="T11">
    <cfRule type="cellIs" dxfId="577" priority="155" operator="greaterThan">
      <formula>0.29</formula>
    </cfRule>
    <cfRule type="cellIs" dxfId="576" priority="156" operator="lessThanOrEqual">
      <formula>0.29</formula>
    </cfRule>
  </conditionalFormatting>
  <conditionalFormatting sqref="T12">
    <cfRule type="cellIs" dxfId="575" priority="52" operator="lessThanOrEqual">
      <formula>0.1038</formula>
    </cfRule>
    <cfRule type="cellIs" dxfId="574" priority="51" operator="greaterThan">
      <formula>0.1038</formula>
    </cfRule>
  </conditionalFormatting>
  <conditionalFormatting sqref="U11">
    <cfRule type="cellIs" dxfId="573" priority="152" operator="lessThanOrEqual">
      <formula>0.27</formula>
    </cfRule>
    <cfRule type="cellIs" dxfId="572" priority="151" operator="greaterThan">
      <formula>0.27</formula>
    </cfRule>
  </conditionalFormatting>
  <conditionalFormatting sqref="U12">
    <cfRule type="cellIs" dxfId="571" priority="47" operator="greaterThan">
      <formula>0.066</formula>
    </cfRule>
    <cfRule type="cellIs" dxfId="570" priority="48" operator="lessThanOrEqual">
      <formula>0.066</formula>
    </cfRule>
  </conditionalFormatting>
  <conditionalFormatting sqref="V11">
    <cfRule type="cellIs" dxfId="569" priority="148" operator="lessThanOrEqual">
      <formula>0.37</formula>
    </cfRule>
    <cfRule type="cellIs" dxfId="568" priority="147" operator="greaterThan">
      <formula>0.37</formula>
    </cfRule>
  </conditionalFormatting>
  <conditionalFormatting sqref="V12">
    <cfRule type="cellIs" dxfId="567" priority="44" operator="lessThanOrEqual">
      <formula>0.0599</formula>
    </cfRule>
    <cfRule type="cellIs" dxfId="566" priority="43" operator="greaterThan">
      <formula>0.0599</formula>
    </cfRule>
  </conditionalFormatting>
  <conditionalFormatting sqref="W11">
    <cfRule type="cellIs" dxfId="565" priority="144" operator="lessThanOrEqual">
      <formula>0.27</formula>
    </cfRule>
    <cfRule type="cellIs" dxfId="564" priority="143" operator="greaterThan">
      <formula>0.27</formula>
    </cfRule>
  </conditionalFormatting>
  <conditionalFormatting sqref="W12">
    <cfRule type="cellIs" dxfId="563" priority="39" operator="greaterThan">
      <formula>0.0768</formula>
    </cfRule>
    <cfRule type="cellIs" dxfId="562" priority="40" operator="lessThanOrEqual">
      <formula>0.0768</formula>
    </cfRule>
  </conditionalFormatting>
  <conditionalFormatting sqref="X11">
    <cfRule type="cellIs" dxfId="561" priority="140" operator="lessThanOrEqual">
      <formula>0.29</formula>
    </cfRule>
    <cfRule type="cellIs" dxfId="560" priority="139" operator="greaterThan">
      <formula>0.29</formula>
    </cfRule>
  </conditionalFormatting>
  <conditionalFormatting sqref="X12">
    <cfRule type="cellIs" dxfId="559" priority="36" operator="lessThanOrEqual">
      <formula>0.0817</formula>
    </cfRule>
    <cfRule type="cellIs" dxfId="558" priority="35" operator="greaterThan">
      <formula>0.0817</formula>
    </cfRule>
  </conditionalFormatting>
  <conditionalFormatting sqref="Y11">
    <cfRule type="cellIs" dxfId="557" priority="135" operator="greaterThan">
      <formula>0.28</formula>
    </cfRule>
    <cfRule type="cellIs" dxfId="556" priority="136" operator="lessThanOrEqual">
      <formula>0.28</formula>
    </cfRule>
  </conditionalFormatting>
  <conditionalFormatting sqref="Y12">
    <cfRule type="cellIs" dxfId="555" priority="32" operator="lessThanOrEqual">
      <formula>0.0951</formula>
    </cfRule>
    <cfRule type="cellIs" dxfId="554" priority="31" operator="greaterThan">
      <formula>0.0951</formula>
    </cfRule>
  </conditionalFormatting>
  <conditionalFormatting sqref="Z11">
    <cfRule type="cellIs" dxfId="553" priority="132" operator="lessThanOrEqual">
      <formula>0.32</formula>
    </cfRule>
    <cfRule type="cellIs" dxfId="552" priority="131" operator="greaterThan">
      <formula>0.32</formula>
    </cfRule>
  </conditionalFormatting>
  <conditionalFormatting sqref="Z12">
    <cfRule type="cellIs" dxfId="551" priority="28" operator="lessThanOrEqual">
      <formula>0.0594</formula>
    </cfRule>
    <cfRule type="cellIs" dxfId="550" priority="27" operator="greaterThan">
      <formula>0.0594</formula>
    </cfRule>
  </conditionalFormatting>
  <conditionalFormatting sqref="AA11">
    <cfRule type="cellIs" dxfId="549" priority="128" operator="lessThanOrEqual">
      <formula>0.235</formula>
    </cfRule>
    <cfRule type="cellIs" dxfId="548" priority="127" operator="greaterThan">
      <formula>0.235</formula>
    </cfRule>
  </conditionalFormatting>
  <conditionalFormatting sqref="AA12">
    <cfRule type="cellIs" dxfId="547" priority="24" operator="lessThanOrEqual">
      <formula>0.0492</formula>
    </cfRule>
    <cfRule type="cellIs" dxfId="546" priority="23" operator="greaterThan">
      <formula>0.0492</formula>
    </cfRule>
  </conditionalFormatting>
  <conditionalFormatting sqref="AB11">
    <cfRule type="cellIs" dxfId="545" priority="124" operator="lessThanOrEqual">
      <formula>0.245</formula>
    </cfRule>
    <cfRule type="cellIs" dxfId="544" priority="123" operator="greaterThan">
      <formula>0.245</formula>
    </cfRule>
  </conditionalFormatting>
  <conditionalFormatting sqref="AB12">
    <cfRule type="cellIs" dxfId="543" priority="20" operator="lessThanOrEqual">
      <formula>0.0409</formula>
    </cfRule>
    <cfRule type="cellIs" dxfId="542" priority="19" operator="greaterThan">
      <formula>0.0409</formula>
    </cfRule>
  </conditionalFormatting>
  <conditionalFormatting sqref="AC11">
    <cfRule type="cellIs" dxfId="541" priority="120" operator="lessThanOrEqual">
      <formula>0.195</formula>
    </cfRule>
    <cfRule type="cellIs" dxfId="540" priority="119" operator="greaterThan">
      <formula>0.195</formula>
    </cfRule>
  </conditionalFormatting>
  <conditionalFormatting sqref="AC12">
    <cfRule type="cellIs" dxfId="539" priority="16" operator="lessThanOrEqual">
      <formula>0.0507</formula>
    </cfRule>
    <cfRule type="cellIs" dxfId="538" priority="15" operator="greaterThan">
      <formula>0.0507</formula>
    </cfRule>
  </conditionalFormatting>
  <conditionalFormatting sqref="AD12">
    <cfRule type="cellIs" dxfId="537" priority="11" operator="greaterThan">
      <formula>0.066</formula>
    </cfRule>
    <cfRule type="cellIs" dxfId="536" priority="12" operator="lessThanOrEqual">
      <formula>0.066</formula>
    </cfRule>
  </conditionalFormatting>
  <conditionalFormatting sqref="AD11:AE11">
    <cfRule type="cellIs" dxfId="535" priority="112" operator="lessThanOrEqual">
      <formula>0.245</formula>
    </cfRule>
    <cfRule type="cellIs" dxfId="534" priority="111" operator="greaterThan">
      <formula>0.245</formula>
    </cfRule>
  </conditionalFormatting>
  <conditionalFormatting sqref="AE12">
    <cfRule type="cellIs" dxfId="533" priority="7" operator="greaterThan">
      <formula>0.073</formula>
    </cfRule>
    <cfRule type="cellIs" dxfId="532" priority="8" operator="lessThanOrEqual">
      <formula>0.073</formula>
    </cfRule>
  </conditionalFormatting>
  <conditionalFormatting sqref="AF11">
    <cfRule type="cellIs" dxfId="531" priority="108" operator="lessThanOrEqual">
      <formula>0.225</formula>
    </cfRule>
    <cfRule type="cellIs" dxfId="530" priority="107" operator="greaterThan">
      <formula>0.225</formula>
    </cfRule>
  </conditionalFormatting>
  <conditionalFormatting sqref="AF12">
    <cfRule type="cellIs" dxfId="529" priority="3" operator="greaterThan">
      <formula>0.0518</formula>
    </cfRule>
    <cfRule type="cellIs" dxfId="528" priority="4" operator="lessThanOrEqual">
      <formula>0.0518</formula>
    </cfRule>
  </conditionalFormatting>
  <conditionalFormatting sqref="AG5">
    <cfRule type="cellIs" dxfId="527" priority="4166" operator="lessThan">
      <formula>0.9</formula>
    </cfRule>
    <cfRule type="containsBlanks" dxfId="526" priority="4165">
      <formula>LEN(TRIM(AG5))=0</formula>
    </cfRule>
    <cfRule type="cellIs" dxfId="525" priority="4167" operator="greaterThanOrEqual">
      <formula>0.9</formula>
    </cfRule>
  </conditionalFormatting>
  <conditionalFormatting sqref="AG19:AG23">
    <cfRule type="containsBlanks" dxfId="524" priority="4150">
      <formula>LEN(TRIM(AG19))=0</formula>
    </cfRule>
    <cfRule type="cellIs" dxfId="523" priority="4151" operator="equal">
      <formula>"-"</formula>
    </cfRule>
    <cfRule type="cellIs" dxfId="522" priority="4152" operator="lessThan">
      <formula>0.74</formula>
    </cfRule>
    <cfRule type="cellIs" dxfId="521" priority="4153" operator="greaterThanOrEqual">
      <formula>0.74</formula>
    </cfRule>
  </conditionalFormatting>
  <conditionalFormatting sqref="AG14:AH14">
    <cfRule type="containsBlanks" dxfId="520" priority="4161">
      <formula>LEN(TRIM(AG14))=0</formula>
    </cfRule>
    <cfRule type="cellIs" dxfId="519" priority="4163" operator="lessThan">
      <formula>0.8</formula>
    </cfRule>
    <cfRule type="cellIs" dxfId="518" priority="4164" operator="greaterThanOrEqual">
      <formula>0.8</formula>
    </cfRule>
  </conditionalFormatting>
  <conditionalFormatting sqref="AI18:AN18">
    <cfRule type="containsBlanks" dxfId="517" priority="4252">
      <formula>LEN(TRIM(AI18))=0</formula>
    </cfRule>
    <cfRule type="cellIs" dxfId="516" priority="4253" operator="lessThan">
      <formula>0.84</formula>
    </cfRule>
    <cfRule type="cellIs" dxfId="515" priority="4254" operator="greaterThanOrEqual">
      <formula>0.84</formula>
    </cfRule>
  </conditionalFormatting>
  <pageMargins left="0.7" right="0.7" top="0.75" bottom="0.75" header="0.3" footer="0.3"/>
  <pageSetup paperSize="9" orientation="landscape" horizontalDpi="4294967293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AM45"/>
  <sheetViews>
    <sheetView topLeftCell="D1" zoomScale="85" zoomScaleNormal="85" workbookViewId="0">
      <pane xSplit="3" ySplit="4" topLeftCell="H5" activePane="bottomRight" state="frozen"/>
      <selection pane="topRight" activeCell="A24" sqref="A24:XFD25"/>
      <selection pane="bottomLeft" activeCell="A24" sqref="A24:XFD25"/>
      <selection pane="bottomRight" activeCell="A24" sqref="A24:XFD25"/>
    </sheetView>
  </sheetViews>
  <sheetFormatPr defaultRowHeight="15" x14ac:dyDescent="0.25"/>
  <cols>
    <col min="2" max="2" width="10.42578125" bestFit="1" customWidth="1"/>
    <col min="3" max="3" width="19.42578125" style="117" customWidth="1"/>
    <col min="4" max="4" width="64.28515625" bestFit="1" customWidth="1"/>
    <col min="5" max="5" width="3.28515625" bestFit="1" customWidth="1"/>
    <col min="6" max="6" width="7" bestFit="1" customWidth="1"/>
    <col min="7" max="7" width="11.42578125" customWidth="1"/>
    <col min="8" max="8" width="9.5703125" bestFit="1" customWidth="1"/>
    <col min="38" max="39" width="17.7109375" customWidth="1"/>
  </cols>
  <sheetData>
    <row r="2" spans="1:39" x14ac:dyDescent="0.25">
      <c r="B2" s="378" t="s">
        <v>36</v>
      </c>
      <c r="C2" s="378" t="s">
        <v>37</v>
      </c>
      <c r="D2" s="380" t="s">
        <v>99</v>
      </c>
      <c r="E2" s="383" t="s">
        <v>24</v>
      </c>
      <c r="F2" s="383" t="s">
        <v>39</v>
      </c>
      <c r="G2" s="384" t="s">
        <v>40</v>
      </c>
      <c r="H2" s="383" t="s">
        <v>41</v>
      </c>
      <c r="I2" s="383"/>
      <c r="J2" s="383"/>
      <c r="K2" s="383"/>
      <c r="L2" s="383" t="s">
        <v>100</v>
      </c>
      <c r="M2" s="387"/>
      <c r="N2" s="387"/>
      <c r="O2" s="387"/>
      <c r="P2" s="387"/>
      <c r="Q2" s="383" t="s">
        <v>42</v>
      </c>
      <c r="R2" s="383"/>
      <c r="S2" s="383"/>
      <c r="T2" s="383"/>
      <c r="U2" s="383"/>
      <c r="V2" s="383"/>
      <c r="W2" s="384" t="s">
        <v>43</v>
      </c>
      <c r="X2" s="384"/>
      <c r="Y2" s="384"/>
      <c r="Z2" s="384"/>
      <c r="AA2" s="384"/>
      <c r="AB2" s="384"/>
      <c r="AC2" s="384"/>
      <c r="AD2" s="384"/>
      <c r="AE2" s="384"/>
      <c r="AF2" s="384" t="s">
        <v>44</v>
      </c>
      <c r="AG2" s="384"/>
      <c r="AH2" s="384"/>
      <c r="AI2" s="384"/>
      <c r="AJ2" s="384"/>
      <c r="AK2" s="384"/>
      <c r="AL2" s="383" t="s">
        <v>28</v>
      </c>
      <c r="AM2" s="383" t="s">
        <v>29</v>
      </c>
    </row>
    <row r="3" spans="1:39" x14ac:dyDescent="0.25">
      <c r="B3" s="378"/>
      <c r="C3" s="378"/>
      <c r="D3" s="381"/>
      <c r="E3" s="383"/>
      <c r="F3" s="383"/>
      <c r="G3" s="384"/>
      <c r="H3" s="383"/>
      <c r="I3" s="383"/>
      <c r="J3" s="383"/>
      <c r="K3" s="383"/>
      <c r="L3" s="387"/>
      <c r="M3" s="387"/>
      <c r="N3" s="387"/>
      <c r="O3" s="387"/>
      <c r="P3" s="387"/>
      <c r="Q3" s="385" t="s">
        <v>42</v>
      </c>
      <c r="R3" s="385"/>
      <c r="S3" s="385"/>
      <c r="T3" s="385"/>
      <c r="U3" s="385"/>
      <c r="V3" s="385"/>
      <c r="W3" s="386" t="s">
        <v>101</v>
      </c>
      <c r="X3" s="386"/>
      <c r="Y3" s="386"/>
      <c r="Z3" s="386"/>
      <c r="AA3" s="386"/>
      <c r="AB3" s="386" t="s">
        <v>102</v>
      </c>
      <c r="AC3" s="386"/>
      <c r="AD3" s="386"/>
      <c r="AE3" s="386"/>
      <c r="AF3" s="385" t="s">
        <v>103</v>
      </c>
      <c r="AG3" s="385"/>
      <c r="AH3" s="385"/>
      <c r="AI3" s="385" t="s">
        <v>104</v>
      </c>
      <c r="AJ3" s="385"/>
      <c r="AK3" s="385"/>
      <c r="AL3" s="383"/>
      <c r="AM3" s="383"/>
    </row>
    <row r="4" spans="1:39" ht="15" customHeight="1" x14ac:dyDescent="0.25">
      <c r="B4" s="378"/>
      <c r="C4" s="378"/>
      <c r="D4" s="382"/>
      <c r="E4" s="383"/>
      <c r="F4" s="383"/>
      <c r="G4" s="384"/>
      <c r="H4" s="104" t="s">
        <v>45</v>
      </c>
      <c r="I4" s="105" t="s">
        <v>26</v>
      </c>
      <c r="J4" s="105" t="s">
        <v>46</v>
      </c>
      <c r="K4" s="105" t="s">
        <v>91</v>
      </c>
      <c r="L4" s="105" t="s">
        <v>26</v>
      </c>
      <c r="M4" s="105" t="s">
        <v>105</v>
      </c>
      <c r="N4" s="105" t="s">
        <v>106</v>
      </c>
      <c r="O4" s="105" t="s">
        <v>103</v>
      </c>
      <c r="P4" s="105" t="s">
        <v>107</v>
      </c>
      <c r="Q4" s="105" t="s">
        <v>27</v>
      </c>
      <c r="R4" s="105" t="s">
        <v>30</v>
      </c>
      <c r="S4" s="105" t="s">
        <v>31</v>
      </c>
      <c r="T4" s="105" t="s">
        <v>32</v>
      </c>
      <c r="U4" s="105" t="s">
        <v>33</v>
      </c>
      <c r="V4" s="105" t="s">
        <v>34</v>
      </c>
      <c r="W4" s="105" t="s">
        <v>47</v>
      </c>
      <c r="X4" s="105" t="s">
        <v>48</v>
      </c>
      <c r="Y4" s="105" t="s">
        <v>49</v>
      </c>
      <c r="Z4" s="105" t="s">
        <v>50</v>
      </c>
      <c r="AA4" s="105" t="s">
        <v>51</v>
      </c>
      <c r="AB4" s="105" t="s">
        <v>52</v>
      </c>
      <c r="AC4" s="105" t="s">
        <v>53</v>
      </c>
      <c r="AD4" s="105" t="s">
        <v>54</v>
      </c>
      <c r="AE4" s="105" t="s">
        <v>55</v>
      </c>
      <c r="AF4" s="105" t="s">
        <v>56</v>
      </c>
      <c r="AG4" s="105" t="s">
        <v>57</v>
      </c>
      <c r="AH4" s="105" t="s">
        <v>58</v>
      </c>
      <c r="AI4" s="105" t="s">
        <v>59</v>
      </c>
      <c r="AJ4" s="105" t="s">
        <v>60</v>
      </c>
      <c r="AK4" s="105" t="s">
        <v>61</v>
      </c>
      <c r="AL4" s="379" t="s">
        <v>62</v>
      </c>
      <c r="AM4" s="379"/>
    </row>
    <row r="5" spans="1:39" s="115" customFormat="1" x14ac:dyDescent="0.25">
      <c r="A5" t="s">
        <v>2</v>
      </c>
      <c r="B5" s="376" t="s">
        <v>63</v>
      </c>
      <c r="C5" s="116" t="s">
        <v>64</v>
      </c>
      <c r="D5" s="151" t="s">
        <v>108</v>
      </c>
      <c r="E5" s="105">
        <v>1</v>
      </c>
      <c r="F5" s="113">
        <v>0.03</v>
      </c>
      <c r="G5" s="96">
        <v>2.9000000000000001E-2</v>
      </c>
      <c r="H5" s="96">
        <v>2.5000000000000001E-2</v>
      </c>
      <c r="I5" s="97">
        <v>3.7199999999999997E-2</v>
      </c>
      <c r="J5" s="96">
        <v>1.8599999999999998E-2</v>
      </c>
      <c r="K5" s="96">
        <v>2.4799999999999999E-2</v>
      </c>
      <c r="L5" s="97">
        <v>3.7199999999999997E-2</v>
      </c>
      <c r="M5" s="96">
        <v>9.5999999999999992E-3</v>
      </c>
      <c r="N5" s="97">
        <v>3.9800000000000002E-2</v>
      </c>
      <c r="O5" s="96">
        <v>2.3400000000000001E-2</v>
      </c>
      <c r="P5" s="96">
        <v>2.5600000000000001E-2</v>
      </c>
      <c r="Q5" s="96">
        <v>2.81E-2</v>
      </c>
      <c r="R5" s="97">
        <v>4.65E-2</v>
      </c>
      <c r="S5" s="97">
        <v>3.2300000000000002E-2</v>
      </c>
      <c r="T5" s="97">
        <v>0.13100000000000001</v>
      </c>
      <c r="U5" s="97">
        <v>6.0699999999999997E-2</v>
      </c>
      <c r="V5" s="96">
        <v>2.0400000000000001E-2</v>
      </c>
      <c r="W5" s="96">
        <v>1.38E-2</v>
      </c>
      <c r="X5" s="96">
        <v>1.1299999999999999E-2</v>
      </c>
      <c r="Y5" s="96">
        <v>1.2200000000000001E-2</v>
      </c>
      <c r="Z5" s="96">
        <v>4.1000000000000003E-3</v>
      </c>
      <c r="AA5" s="96">
        <v>2.86E-2</v>
      </c>
      <c r="AB5" s="96">
        <v>2.9600000000000001E-2</v>
      </c>
      <c r="AC5" s="97">
        <v>5.1900000000000002E-2</v>
      </c>
      <c r="AD5" s="97">
        <v>4.3999999999999997E-2</v>
      </c>
      <c r="AE5" s="97">
        <v>4.0399999999999998E-2</v>
      </c>
      <c r="AF5" s="97">
        <v>3.2899999999999999E-2</v>
      </c>
      <c r="AG5" s="96">
        <v>1.34E-2</v>
      </c>
      <c r="AH5" s="97">
        <v>4.3299999999999998E-2</v>
      </c>
      <c r="AI5" s="96">
        <v>2.1899999999999999E-2</v>
      </c>
      <c r="AJ5" s="96">
        <v>2.6800000000000001E-2</v>
      </c>
      <c r="AK5" s="96">
        <v>2.93E-2</v>
      </c>
      <c r="AL5" s="114"/>
      <c r="AM5" s="114"/>
    </row>
    <row r="6" spans="1:39" hidden="1" x14ac:dyDescent="0.25">
      <c r="B6" s="376"/>
      <c r="C6" s="377" t="s">
        <v>109</v>
      </c>
      <c r="D6" s="122" t="s">
        <v>110</v>
      </c>
      <c r="E6" s="105">
        <v>2</v>
      </c>
      <c r="F6" s="111">
        <v>4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07"/>
      <c r="AM6" s="107"/>
    </row>
    <row r="7" spans="1:39" x14ac:dyDescent="0.25">
      <c r="A7" t="s">
        <v>2</v>
      </c>
      <c r="B7" s="376"/>
      <c r="C7" s="377"/>
      <c r="D7" s="147" t="s">
        <v>111</v>
      </c>
      <c r="E7" s="105">
        <v>3</v>
      </c>
      <c r="F7" s="106">
        <v>0.75</v>
      </c>
      <c r="G7" s="96">
        <v>0.78800000000000003</v>
      </c>
      <c r="H7" s="97">
        <v>0.70599999999999996</v>
      </c>
      <c r="I7" s="97">
        <v>0.69889999999999997</v>
      </c>
      <c r="J7" s="97">
        <v>0.59609999999999996</v>
      </c>
      <c r="K7" s="97">
        <v>0.74429999999999996</v>
      </c>
      <c r="L7" s="97">
        <v>0.69889999999999997</v>
      </c>
      <c r="M7" s="97">
        <v>0.57489999999999997</v>
      </c>
      <c r="N7" s="97">
        <v>0.67620000000000002</v>
      </c>
      <c r="O7" s="96">
        <v>0.88749999999999996</v>
      </c>
      <c r="P7" s="97">
        <v>0.68200000000000005</v>
      </c>
      <c r="Q7" s="97">
        <v>0.42680000000000001</v>
      </c>
      <c r="R7" s="97">
        <v>0.65380000000000005</v>
      </c>
      <c r="S7" s="96">
        <v>0.90529999999999999</v>
      </c>
      <c r="T7" s="97">
        <v>0.35</v>
      </c>
      <c r="U7" s="96">
        <v>0.79859999999999998</v>
      </c>
      <c r="V7" s="96">
        <v>0.79010000000000002</v>
      </c>
      <c r="W7" s="97">
        <v>0.73519999999999996</v>
      </c>
      <c r="X7" s="97">
        <v>0.57199999999999995</v>
      </c>
      <c r="Y7" s="97">
        <v>0.49299999999999999</v>
      </c>
      <c r="Z7" s="97">
        <v>0.55230000000000001</v>
      </c>
      <c r="AA7" s="97">
        <v>0.41039999999999999</v>
      </c>
      <c r="AB7" s="96">
        <v>0.87949999999999995</v>
      </c>
      <c r="AC7" s="97">
        <v>0.45450000000000002</v>
      </c>
      <c r="AD7" s="97">
        <v>0.7379</v>
      </c>
      <c r="AE7" s="97">
        <v>0.59489999999999998</v>
      </c>
      <c r="AF7" s="96">
        <v>0.84799999999999998</v>
      </c>
      <c r="AG7" s="96">
        <v>0.86970000000000003</v>
      </c>
      <c r="AH7" s="96">
        <v>0.98060000000000003</v>
      </c>
      <c r="AI7" s="97">
        <v>0.54679999999999995</v>
      </c>
      <c r="AJ7" s="97">
        <v>0.74660000000000004</v>
      </c>
      <c r="AK7" s="96">
        <v>0.81940000000000002</v>
      </c>
      <c r="AL7" s="107"/>
      <c r="AM7" s="107"/>
    </row>
    <row r="8" spans="1:39" hidden="1" x14ac:dyDescent="0.25">
      <c r="B8" s="376"/>
      <c r="C8" s="377"/>
      <c r="D8" s="148" t="s">
        <v>112</v>
      </c>
      <c r="E8" s="105">
        <v>4</v>
      </c>
      <c r="F8" s="106">
        <v>0.99</v>
      </c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07"/>
      <c r="AM8" s="107"/>
    </row>
    <row r="9" spans="1:39" hidden="1" x14ac:dyDescent="0.25">
      <c r="B9" s="376"/>
      <c r="C9" s="377"/>
      <c r="D9" s="148" t="s">
        <v>113</v>
      </c>
      <c r="E9" s="105">
        <v>5</v>
      </c>
      <c r="F9" s="111">
        <v>4</v>
      </c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07"/>
      <c r="AM9" s="107"/>
    </row>
    <row r="10" spans="1:39" x14ac:dyDescent="0.25">
      <c r="A10" t="s">
        <v>2</v>
      </c>
      <c r="B10" s="376"/>
      <c r="C10" s="377"/>
      <c r="D10" s="147" t="s">
        <v>114</v>
      </c>
      <c r="E10" s="105">
        <v>6</v>
      </c>
      <c r="F10" s="106">
        <v>0.04</v>
      </c>
      <c r="G10" s="140">
        <v>2.1999999999999999E-2</v>
      </c>
      <c r="H10" s="140">
        <v>1.4999999999999999E-2</v>
      </c>
      <c r="I10" s="96">
        <v>7.4000000000000003E-3</v>
      </c>
      <c r="J10" s="96">
        <v>3.9199999999999999E-2</v>
      </c>
      <c r="K10" s="96">
        <v>8.2000000000000007E-3</v>
      </c>
      <c r="L10" s="96">
        <v>7.4000000000000003E-3</v>
      </c>
      <c r="M10" s="97">
        <v>5.4600000000000003E-2</v>
      </c>
      <c r="N10" s="96">
        <v>1.4E-2</v>
      </c>
      <c r="O10" s="96">
        <v>1.77E-2</v>
      </c>
      <c r="P10" s="96">
        <v>3.5999999999999999E-3</v>
      </c>
      <c r="Q10" s="96">
        <v>1.15E-2</v>
      </c>
      <c r="R10" s="96">
        <v>1.3899999999999999E-2</v>
      </c>
      <c r="S10" s="96">
        <v>3.5000000000000001E-3</v>
      </c>
      <c r="T10" s="96">
        <v>0</v>
      </c>
      <c r="U10" s="96">
        <v>1.5599999999999999E-2</v>
      </c>
      <c r="V10" s="96">
        <v>1.9E-3</v>
      </c>
      <c r="W10" s="96">
        <v>1.67E-2</v>
      </c>
      <c r="X10" s="96">
        <v>3.0999999999999999E-3</v>
      </c>
      <c r="Y10" s="96">
        <v>2.1299999999999999E-2</v>
      </c>
      <c r="Z10" s="96">
        <v>1.12E-2</v>
      </c>
      <c r="AA10" s="97">
        <v>0.31979999999999997</v>
      </c>
      <c r="AB10" s="96">
        <v>9.1999999999999998E-3</v>
      </c>
      <c r="AC10" s="96">
        <v>2.92E-2</v>
      </c>
      <c r="AD10" s="96">
        <v>1.47E-2</v>
      </c>
      <c r="AE10" s="96">
        <v>7.4999999999999997E-3</v>
      </c>
      <c r="AF10" s="96">
        <v>1.09E-2</v>
      </c>
      <c r="AG10" s="96">
        <v>2.7699999999999999E-2</v>
      </c>
      <c r="AH10" s="96">
        <v>0</v>
      </c>
      <c r="AI10" s="96">
        <v>1.9E-3</v>
      </c>
      <c r="AJ10" s="96">
        <v>3.8E-3</v>
      </c>
      <c r="AK10" s="96">
        <v>6.1000000000000004E-3</v>
      </c>
      <c r="AL10" s="107"/>
      <c r="AM10" s="107"/>
    </row>
    <row r="11" spans="1:39" x14ac:dyDescent="0.25">
      <c r="A11" t="s">
        <v>2</v>
      </c>
      <c r="B11" s="376"/>
      <c r="C11" s="377"/>
      <c r="D11" s="149" t="s">
        <v>115</v>
      </c>
      <c r="E11" s="105"/>
      <c r="F11" s="106"/>
      <c r="G11" s="141">
        <v>3.3</v>
      </c>
      <c r="H11" s="142">
        <v>4.2</v>
      </c>
      <c r="I11" s="100">
        <v>5.1100000000000003</v>
      </c>
      <c r="J11" s="100">
        <v>5.34</v>
      </c>
      <c r="K11" s="101">
        <v>3.64</v>
      </c>
      <c r="L11" s="100">
        <v>5.1100000000000003</v>
      </c>
      <c r="M11" s="100">
        <v>5.99</v>
      </c>
      <c r="N11" s="101">
        <v>3.93</v>
      </c>
      <c r="O11" s="101">
        <v>3.1</v>
      </c>
      <c r="P11" s="101">
        <v>3.86</v>
      </c>
      <c r="Q11" s="100">
        <v>9.65</v>
      </c>
      <c r="R11" s="100">
        <v>5.47</v>
      </c>
      <c r="S11" s="101">
        <v>2.4</v>
      </c>
      <c r="T11" s="100">
        <v>7.76</v>
      </c>
      <c r="U11" s="101">
        <v>3.58</v>
      </c>
      <c r="V11" s="101">
        <v>3.67</v>
      </c>
      <c r="W11" s="101">
        <v>3.54</v>
      </c>
      <c r="X11" s="100">
        <v>4.4800000000000004</v>
      </c>
      <c r="Y11" s="100">
        <v>7.42</v>
      </c>
      <c r="Z11" s="100">
        <v>5.78</v>
      </c>
      <c r="AA11" s="100">
        <v>12.18</v>
      </c>
      <c r="AB11" s="101">
        <v>2.2599999999999998</v>
      </c>
      <c r="AC11" s="100">
        <v>5.04</v>
      </c>
      <c r="AD11" s="101">
        <v>3.25</v>
      </c>
      <c r="AE11" s="100">
        <v>5.18</v>
      </c>
      <c r="AF11" s="100">
        <v>4.4800000000000004</v>
      </c>
      <c r="AG11" s="101">
        <v>2.9</v>
      </c>
      <c r="AH11" s="101">
        <v>1.91</v>
      </c>
      <c r="AI11" s="100">
        <v>4.12</v>
      </c>
      <c r="AJ11" s="101">
        <v>3.93</v>
      </c>
      <c r="AK11" s="101">
        <v>3.29</v>
      </c>
      <c r="AL11" s="107"/>
      <c r="AM11" s="107"/>
    </row>
    <row r="12" spans="1:39" x14ac:dyDescent="0.25">
      <c r="A12" t="s">
        <v>2</v>
      </c>
      <c r="B12" s="376"/>
      <c r="C12" s="377"/>
      <c r="D12" s="147" t="s">
        <v>116</v>
      </c>
      <c r="E12" s="105">
        <v>7</v>
      </c>
      <c r="F12" s="106">
        <v>0.7</v>
      </c>
      <c r="G12" s="124">
        <v>0.73699999999999999</v>
      </c>
      <c r="H12" s="96"/>
      <c r="I12" s="97">
        <v>0.61539999999999995</v>
      </c>
      <c r="J12" s="96">
        <v>0.7097</v>
      </c>
      <c r="K12" s="97">
        <v>0.66669999999999996</v>
      </c>
      <c r="L12" s="97">
        <v>0.61539999999999995</v>
      </c>
      <c r="M12" s="97">
        <v>0.61360000000000003</v>
      </c>
      <c r="N12" s="96">
        <v>1</v>
      </c>
      <c r="O12" s="97">
        <v>0.66669999999999996</v>
      </c>
      <c r="P12" s="128" t="s">
        <v>66</v>
      </c>
      <c r="Q12" s="96">
        <v>1</v>
      </c>
      <c r="R12" s="96">
        <v>1</v>
      </c>
      <c r="S12" s="128" t="s">
        <v>66</v>
      </c>
      <c r="T12" s="128" t="s">
        <v>66</v>
      </c>
      <c r="U12" s="97">
        <v>0.5</v>
      </c>
      <c r="V12" s="97">
        <v>0</v>
      </c>
      <c r="W12" s="96">
        <v>0.75</v>
      </c>
      <c r="X12" s="128" t="s">
        <v>66</v>
      </c>
      <c r="Y12" s="97">
        <v>0.6</v>
      </c>
      <c r="Z12" s="128" t="s">
        <v>66</v>
      </c>
      <c r="AA12" s="97">
        <v>0.5806</v>
      </c>
      <c r="AB12" s="96">
        <v>1</v>
      </c>
      <c r="AC12" s="96">
        <v>1</v>
      </c>
      <c r="AD12" s="96">
        <v>1</v>
      </c>
      <c r="AE12" s="96">
        <v>1</v>
      </c>
      <c r="AF12" s="97">
        <v>0</v>
      </c>
      <c r="AG12" s="96">
        <v>0.8</v>
      </c>
      <c r="AH12" s="128" t="s">
        <v>66</v>
      </c>
      <c r="AI12" s="128" t="s">
        <v>66</v>
      </c>
      <c r="AJ12" s="128" t="s">
        <v>66</v>
      </c>
      <c r="AK12" s="128" t="s">
        <v>66</v>
      </c>
      <c r="AL12" s="107"/>
      <c r="AM12" s="107"/>
    </row>
    <row r="13" spans="1:39" x14ac:dyDescent="0.25">
      <c r="A13" t="s">
        <v>2</v>
      </c>
      <c r="B13" s="376" t="s">
        <v>70</v>
      </c>
      <c r="C13" s="377" t="s">
        <v>71</v>
      </c>
      <c r="D13" s="147" t="s">
        <v>117</v>
      </c>
      <c r="E13" s="105">
        <v>8</v>
      </c>
      <c r="F13" s="110">
        <v>0.22900000000000001</v>
      </c>
      <c r="G13" s="97">
        <v>0.27400000000000002</v>
      </c>
      <c r="H13" s="143">
        <v>0.27400000000000002</v>
      </c>
      <c r="I13" s="97">
        <v>0.30819999999999997</v>
      </c>
      <c r="J13" s="97">
        <v>0.36159999999999998</v>
      </c>
      <c r="K13" s="96">
        <v>0.2291</v>
      </c>
      <c r="L13" s="97">
        <v>0.30819999999999997</v>
      </c>
      <c r="M13" s="97">
        <v>0.35820000000000002</v>
      </c>
      <c r="N13" s="97">
        <v>0.36770000000000003</v>
      </c>
      <c r="O13" s="96">
        <v>0.2044</v>
      </c>
      <c r="P13" s="97">
        <v>0.25090000000000001</v>
      </c>
      <c r="Q13" s="97">
        <v>0.2626</v>
      </c>
      <c r="R13" s="97">
        <v>0.3448</v>
      </c>
      <c r="S13" s="97">
        <v>0.29930000000000001</v>
      </c>
      <c r="T13" s="97">
        <v>0.34160000000000001</v>
      </c>
      <c r="U13" s="97">
        <v>0.32669999999999999</v>
      </c>
      <c r="V13" s="97">
        <v>0.32719999999999999</v>
      </c>
      <c r="W13" s="97">
        <v>0.44009999999999999</v>
      </c>
      <c r="X13" s="97">
        <v>0.308</v>
      </c>
      <c r="Y13" s="97">
        <v>0.50490000000000002</v>
      </c>
      <c r="Z13" s="97">
        <v>0.28920000000000001</v>
      </c>
      <c r="AA13" s="97">
        <v>0.3649</v>
      </c>
      <c r="AB13" s="97">
        <v>0.31419999999999998</v>
      </c>
      <c r="AC13" s="97">
        <v>0.28470000000000001</v>
      </c>
      <c r="AD13" s="97">
        <v>0.30270000000000002</v>
      </c>
      <c r="AE13" s="97">
        <v>0.53090000000000004</v>
      </c>
      <c r="AF13" s="96">
        <v>0.1477</v>
      </c>
      <c r="AG13" s="97">
        <v>0.27829999999999999</v>
      </c>
      <c r="AH13" s="96">
        <v>0.13500000000000001</v>
      </c>
      <c r="AI13" s="97">
        <v>0.28050000000000003</v>
      </c>
      <c r="AJ13" s="97">
        <v>0.25879999999999997</v>
      </c>
      <c r="AK13" s="96">
        <v>0.21590000000000001</v>
      </c>
      <c r="AL13" s="107"/>
      <c r="AM13" s="107"/>
    </row>
    <row r="14" spans="1:39" x14ac:dyDescent="0.25">
      <c r="A14" t="s">
        <v>2</v>
      </c>
      <c r="B14" s="376"/>
      <c r="C14" s="377"/>
      <c r="D14" s="147" t="s">
        <v>118</v>
      </c>
      <c r="E14" s="105">
        <v>9</v>
      </c>
      <c r="F14" s="109">
        <v>1.7600000000000001E-2</v>
      </c>
      <c r="G14" s="97">
        <v>0.02</v>
      </c>
      <c r="H14" s="144">
        <v>0.01</v>
      </c>
      <c r="I14" s="96">
        <v>1.21E-2</v>
      </c>
      <c r="J14" s="96">
        <v>1.24E-2</v>
      </c>
      <c r="K14" s="97">
        <v>2.1399999999999999E-2</v>
      </c>
      <c r="L14" s="96">
        <v>1.21E-2</v>
      </c>
      <c r="M14" s="96">
        <v>1.5699999999999999E-2</v>
      </c>
      <c r="N14" s="96">
        <v>4.4000000000000003E-3</v>
      </c>
      <c r="O14" s="97">
        <v>2.1399999999999999E-2</v>
      </c>
      <c r="P14" s="128" t="s">
        <v>66</v>
      </c>
      <c r="Q14" s="96">
        <v>2.7000000000000001E-3</v>
      </c>
      <c r="R14" s="128" t="s">
        <v>66</v>
      </c>
      <c r="S14" s="96">
        <v>1.6299999999999999E-2</v>
      </c>
      <c r="T14" s="96">
        <v>5.0000000000000001E-3</v>
      </c>
      <c r="U14" s="96">
        <v>3.8E-3</v>
      </c>
      <c r="V14" s="97">
        <v>2.3E-2</v>
      </c>
      <c r="W14" s="96">
        <v>1.2200000000000001E-2</v>
      </c>
      <c r="X14" s="96">
        <v>3.3E-3</v>
      </c>
      <c r="Y14" s="97">
        <v>7.0999999999999994E-2</v>
      </c>
      <c r="Z14" s="96">
        <v>7.4000000000000003E-3</v>
      </c>
      <c r="AA14" s="96">
        <v>8.0000000000000002E-3</v>
      </c>
      <c r="AB14" s="96">
        <v>3.2000000000000002E-3</v>
      </c>
      <c r="AC14" s="96">
        <v>8.3000000000000001E-3</v>
      </c>
      <c r="AD14" s="128" t="s">
        <v>66</v>
      </c>
      <c r="AE14" s="96">
        <v>2.8E-3</v>
      </c>
      <c r="AF14" s="97">
        <v>2.5700000000000001E-2</v>
      </c>
      <c r="AG14" s="97">
        <v>1.9300000000000001E-2</v>
      </c>
      <c r="AH14" s="128" t="s">
        <v>66</v>
      </c>
      <c r="AI14" s="128" t="s">
        <v>66</v>
      </c>
      <c r="AJ14" s="128" t="s">
        <v>66</v>
      </c>
      <c r="AK14" s="128" t="s">
        <v>66</v>
      </c>
      <c r="AL14" s="107"/>
      <c r="AM14" s="107"/>
    </row>
    <row r="15" spans="1:39" x14ac:dyDescent="0.25">
      <c r="A15" t="s">
        <v>2</v>
      </c>
      <c r="B15" s="376"/>
      <c r="C15" s="377"/>
      <c r="D15" s="147" t="s">
        <v>119</v>
      </c>
      <c r="E15" s="105">
        <v>10</v>
      </c>
      <c r="F15" s="109">
        <v>4.1799999999999997E-2</v>
      </c>
      <c r="G15" s="97">
        <v>5.7000000000000002E-2</v>
      </c>
      <c r="H15" s="97">
        <v>6.7000000000000004E-2</v>
      </c>
      <c r="I15" s="97">
        <v>7.8299999999999995E-2</v>
      </c>
      <c r="J15" s="97">
        <v>7.8600000000000003E-2</v>
      </c>
      <c r="K15" s="97">
        <v>4.53E-2</v>
      </c>
      <c r="L15" s="97">
        <v>7.8299999999999995E-2</v>
      </c>
      <c r="M15" s="97">
        <v>5.8799999999999998E-2</v>
      </c>
      <c r="N15" s="97">
        <v>0.1145</v>
      </c>
      <c r="O15" s="96">
        <v>3.3599999999999998E-2</v>
      </c>
      <c r="P15" s="97">
        <v>5.5599999999999997E-2</v>
      </c>
      <c r="Q15" s="97">
        <v>0.12640000000000001</v>
      </c>
      <c r="R15" s="97">
        <v>5.5800000000000002E-2</v>
      </c>
      <c r="S15" s="96">
        <v>2.4500000000000001E-2</v>
      </c>
      <c r="T15" s="97">
        <v>5.45E-2</v>
      </c>
      <c r="U15" s="97">
        <v>6.9199999999999998E-2</v>
      </c>
      <c r="V15" s="97">
        <v>8.3699999999999997E-2</v>
      </c>
      <c r="W15" s="97">
        <v>4.4600000000000001E-2</v>
      </c>
      <c r="X15" s="96">
        <v>3.2199999999999999E-2</v>
      </c>
      <c r="Y15" s="97">
        <v>8.9099999999999999E-2</v>
      </c>
      <c r="Z15" s="97">
        <v>6.3200000000000006E-2</v>
      </c>
      <c r="AA15" s="97">
        <v>8.8400000000000006E-2</v>
      </c>
      <c r="AB15" s="97">
        <v>0.1128</v>
      </c>
      <c r="AC15" s="96">
        <v>3.7100000000000001E-2</v>
      </c>
      <c r="AD15" s="97">
        <v>0.10730000000000001</v>
      </c>
      <c r="AE15" s="97">
        <v>0.17469999999999999</v>
      </c>
      <c r="AF15" s="97">
        <v>7.6999999999999999E-2</v>
      </c>
      <c r="AG15" s="96">
        <v>1.6899999999999998E-2</v>
      </c>
      <c r="AH15" s="96">
        <v>2.58E-2</v>
      </c>
      <c r="AI15" s="97">
        <v>4.24E-2</v>
      </c>
      <c r="AJ15" s="97">
        <v>8.5900000000000004E-2</v>
      </c>
      <c r="AK15" s="96">
        <v>3.8199999999999998E-2</v>
      </c>
      <c r="AL15" s="107"/>
      <c r="AM15" s="107"/>
    </row>
    <row r="16" spans="1:39" hidden="1" x14ac:dyDescent="0.25">
      <c r="B16" s="376"/>
      <c r="C16" s="377"/>
      <c r="D16" s="148" t="s">
        <v>120</v>
      </c>
      <c r="E16" s="105">
        <v>11</v>
      </c>
      <c r="F16" s="106">
        <v>0.9</v>
      </c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07"/>
      <c r="AM16" s="107"/>
    </row>
    <row r="17" spans="1:39" hidden="1" x14ac:dyDescent="0.25">
      <c r="B17" s="376"/>
      <c r="C17" s="377"/>
      <c r="D17" s="148" t="s">
        <v>121</v>
      </c>
      <c r="E17" s="105">
        <v>12</v>
      </c>
      <c r="F17" s="106">
        <v>0.9</v>
      </c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07"/>
      <c r="AM17" s="107"/>
    </row>
    <row r="18" spans="1:39" hidden="1" x14ac:dyDescent="0.25">
      <c r="B18" s="376"/>
      <c r="C18" s="377"/>
      <c r="D18" s="148" t="s">
        <v>122</v>
      </c>
      <c r="E18" s="105">
        <v>13</v>
      </c>
      <c r="F18" s="106">
        <v>0.9</v>
      </c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07"/>
      <c r="AM18" s="107"/>
    </row>
    <row r="19" spans="1:39" x14ac:dyDescent="0.25">
      <c r="A19" t="s">
        <v>1</v>
      </c>
      <c r="B19" s="376"/>
      <c r="C19" s="377" t="s">
        <v>77</v>
      </c>
      <c r="D19" s="147" t="s">
        <v>123</v>
      </c>
      <c r="E19" s="105">
        <v>14</v>
      </c>
      <c r="F19" s="106">
        <v>0.9</v>
      </c>
      <c r="G19" s="137">
        <v>0.95</v>
      </c>
      <c r="H19" s="137">
        <v>0.94</v>
      </c>
      <c r="I19" s="137">
        <v>0.92</v>
      </c>
      <c r="J19" s="137">
        <v>0.95</v>
      </c>
      <c r="K19" s="137">
        <v>0.95</v>
      </c>
      <c r="L19" s="137">
        <v>0.92</v>
      </c>
      <c r="M19" s="137">
        <v>0.96</v>
      </c>
      <c r="N19" s="137">
        <v>0.93</v>
      </c>
      <c r="O19" s="137">
        <v>0.95</v>
      </c>
      <c r="P19" s="137">
        <v>0.95</v>
      </c>
      <c r="Q19" s="137">
        <v>0.86</v>
      </c>
      <c r="R19" s="137">
        <v>0.7</v>
      </c>
      <c r="S19" s="137">
        <v>0.9</v>
      </c>
      <c r="T19" s="137">
        <v>1</v>
      </c>
      <c r="U19" s="137">
        <v>0.96</v>
      </c>
      <c r="V19" s="137">
        <v>1</v>
      </c>
      <c r="W19" s="137">
        <v>0.83</v>
      </c>
      <c r="X19" s="137">
        <v>0.96</v>
      </c>
      <c r="Y19" s="137">
        <v>1</v>
      </c>
      <c r="Z19" s="137">
        <v>0.96</v>
      </c>
      <c r="AA19" s="137">
        <v>1</v>
      </c>
      <c r="AB19" s="137">
        <v>0.85</v>
      </c>
      <c r="AC19" s="137">
        <v>0.92</v>
      </c>
      <c r="AD19" s="137">
        <v>1</v>
      </c>
      <c r="AE19" s="137">
        <v>1</v>
      </c>
      <c r="AF19" s="137">
        <v>0.77</v>
      </c>
      <c r="AG19" s="137">
        <v>0.98</v>
      </c>
      <c r="AH19" s="137">
        <v>0.91</v>
      </c>
      <c r="AI19" s="137">
        <v>0.98</v>
      </c>
      <c r="AJ19" s="137">
        <v>0.98</v>
      </c>
      <c r="AK19" s="137">
        <v>0.85</v>
      </c>
      <c r="AL19" s="107"/>
      <c r="AM19" s="107"/>
    </row>
    <row r="20" spans="1:39" x14ac:dyDescent="0.25">
      <c r="A20" t="s">
        <v>1</v>
      </c>
      <c r="B20" s="376"/>
      <c r="C20" s="377"/>
      <c r="D20" s="147" t="s">
        <v>124</v>
      </c>
      <c r="E20" s="105">
        <v>15</v>
      </c>
      <c r="F20" s="106">
        <v>0.8</v>
      </c>
      <c r="G20" s="126">
        <v>0.93</v>
      </c>
      <c r="H20" s="126">
        <v>0.96</v>
      </c>
      <c r="I20" s="126">
        <v>0.96</v>
      </c>
      <c r="J20" s="126">
        <v>0.95</v>
      </c>
      <c r="K20" s="126">
        <v>0.99</v>
      </c>
      <c r="L20" s="126">
        <v>0.96</v>
      </c>
      <c r="M20" s="126">
        <v>0.93</v>
      </c>
      <c r="N20" s="126">
        <v>1</v>
      </c>
      <c r="O20" s="126">
        <v>0.99</v>
      </c>
      <c r="P20" s="126">
        <v>0.99</v>
      </c>
      <c r="Q20" s="126">
        <v>0.92</v>
      </c>
      <c r="R20" s="126">
        <v>1</v>
      </c>
      <c r="S20" s="126">
        <v>0.97</v>
      </c>
      <c r="T20" s="126">
        <v>0.7</v>
      </c>
      <c r="U20" s="126">
        <v>0.82</v>
      </c>
      <c r="V20" s="126">
        <v>0.99</v>
      </c>
      <c r="W20" s="126">
        <v>0.99</v>
      </c>
      <c r="X20" s="126">
        <v>1</v>
      </c>
      <c r="Y20" s="145">
        <v>0.8</v>
      </c>
      <c r="Z20" s="126">
        <v>0.96</v>
      </c>
      <c r="AA20" s="126">
        <v>0.97</v>
      </c>
      <c r="AB20" s="126">
        <v>1</v>
      </c>
      <c r="AC20" s="126">
        <v>1</v>
      </c>
      <c r="AD20" s="126">
        <v>1</v>
      </c>
      <c r="AE20" s="126">
        <v>1</v>
      </c>
      <c r="AF20" s="126">
        <v>1</v>
      </c>
      <c r="AG20" s="126">
        <v>0.99</v>
      </c>
      <c r="AH20" s="126">
        <v>1</v>
      </c>
      <c r="AI20" s="126">
        <v>1</v>
      </c>
      <c r="AJ20" s="126">
        <v>0.98</v>
      </c>
      <c r="AK20" s="126">
        <v>1</v>
      </c>
      <c r="AL20" s="107"/>
      <c r="AM20" s="107"/>
    </row>
    <row r="21" spans="1:39" x14ac:dyDescent="0.25">
      <c r="A21" t="s">
        <v>2</v>
      </c>
      <c r="B21" s="376"/>
      <c r="C21" s="377"/>
      <c r="D21" s="147" t="s">
        <v>125</v>
      </c>
      <c r="E21" s="105">
        <v>16</v>
      </c>
      <c r="F21" s="106">
        <v>0.65</v>
      </c>
      <c r="G21" s="97">
        <v>0.66300000000000003</v>
      </c>
      <c r="H21" s="96">
        <v>0.72699999999999998</v>
      </c>
      <c r="I21" s="97">
        <v>0.61850000000000005</v>
      </c>
      <c r="J21" s="96">
        <v>0.74309999999999998</v>
      </c>
      <c r="K21" s="96">
        <v>0.77249999999999996</v>
      </c>
      <c r="L21" s="97">
        <v>0.61850000000000005</v>
      </c>
      <c r="M21" s="96">
        <v>0.72699999999999998</v>
      </c>
      <c r="N21" s="96">
        <v>0.76890000000000003</v>
      </c>
      <c r="O21" s="96">
        <v>0.75560000000000005</v>
      </c>
      <c r="P21" s="96">
        <v>0.78759999999999997</v>
      </c>
      <c r="Q21" s="96">
        <v>0.66200000000000003</v>
      </c>
      <c r="R21" s="96">
        <v>0.77359999999999995</v>
      </c>
      <c r="S21" s="97">
        <v>0.47599999999999998</v>
      </c>
      <c r="T21" s="96">
        <v>0.65480000000000005</v>
      </c>
      <c r="U21" s="96">
        <v>0.84309999999999996</v>
      </c>
      <c r="V21" s="97">
        <v>0.56840000000000002</v>
      </c>
      <c r="W21" s="96">
        <v>0.82320000000000004</v>
      </c>
      <c r="X21" s="96">
        <v>0.81110000000000004</v>
      </c>
      <c r="Y21" s="96">
        <v>0.66930000000000001</v>
      </c>
      <c r="Z21" s="97">
        <v>0.64539999999999997</v>
      </c>
      <c r="AA21" s="96">
        <v>0.7127</v>
      </c>
      <c r="AB21" s="97">
        <v>0.64339999999999997</v>
      </c>
      <c r="AC21" s="96">
        <v>0.76600000000000001</v>
      </c>
      <c r="AD21" s="96">
        <v>0.86329999999999996</v>
      </c>
      <c r="AE21" s="96">
        <v>0.78310000000000002</v>
      </c>
      <c r="AF21" s="96">
        <v>0.80689999999999995</v>
      </c>
      <c r="AG21" s="96">
        <v>0.71140000000000003</v>
      </c>
      <c r="AH21" s="96">
        <v>0.95650000000000002</v>
      </c>
      <c r="AI21" s="96">
        <v>0.81010000000000004</v>
      </c>
      <c r="AJ21" s="96">
        <v>0.74529999999999996</v>
      </c>
      <c r="AK21" s="96">
        <v>0.80379999999999996</v>
      </c>
      <c r="AL21" s="107"/>
      <c r="AM21" s="107"/>
    </row>
    <row r="22" spans="1:39" x14ac:dyDescent="0.25">
      <c r="A22" t="s">
        <v>1</v>
      </c>
      <c r="B22" s="376"/>
      <c r="C22" s="377"/>
      <c r="D22" s="147" t="s">
        <v>126</v>
      </c>
      <c r="E22" s="105">
        <v>17</v>
      </c>
      <c r="F22" s="106">
        <v>0.7</v>
      </c>
      <c r="G22" s="138">
        <v>0.73</v>
      </c>
      <c r="H22" s="138">
        <v>0.72</v>
      </c>
      <c r="I22" s="138">
        <v>0.61</v>
      </c>
      <c r="J22" s="138">
        <v>0.72</v>
      </c>
      <c r="K22" s="138">
        <v>0.83</v>
      </c>
      <c r="L22" s="138">
        <v>0.61</v>
      </c>
      <c r="M22" s="138">
        <v>0.72</v>
      </c>
      <c r="N22" s="138">
        <v>0.73</v>
      </c>
      <c r="O22" s="138">
        <v>0.8</v>
      </c>
      <c r="P22" s="138">
        <v>0.84</v>
      </c>
      <c r="Q22" s="138">
        <v>0.65</v>
      </c>
      <c r="R22" s="138">
        <v>0.76</v>
      </c>
      <c r="S22" s="138">
        <v>0.39</v>
      </c>
      <c r="T22" s="138">
        <v>0.75</v>
      </c>
      <c r="U22" s="138">
        <v>0.89</v>
      </c>
      <c r="V22" s="138">
        <v>0.48</v>
      </c>
      <c r="W22" s="138">
        <v>0.82</v>
      </c>
      <c r="X22" s="138">
        <v>0.81</v>
      </c>
      <c r="Y22" s="138">
        <v>0.65</v>
      </c>
      <c r="Z22" s="138">
        <v>0.66</v>
      </c>
      <c r="AA22" s="138">
        <v>0.61</v>
      </c>
      <c r="AB22" s="138">
        <v>0.55000000000000004</v>
      </c>
      <c r="AC22" s="138">
        <v>0.67</v>
      </c>
      <c r="AD22" s="138">
        <v>0.85</v>
      </c>
      <c r="AE22" s="138">
        <v>0.8</v>
      </c>
      <c r="AF22" s="138">
        <v>0.91</v>
      </c>
      <c r="AG22" s="138">
        <v>0.72</v>
      </c>
      <c r="AH22" s="138">
        <v>0.97</v>
      </c>
      <c r="AI22" s="138">
        <v>0.87</v>
      </c>
      <c r="AJ22" s="138">
        <v>0.82</v>
      </c>
      <c r="AK22" s="138">
        <v>0.84</v>
      </c>
      <c r="AL22" s="107"/>
      <c r="AM22" s="107"/>
    </row>
    <row r="23" spans="1:39" x14ac:dyDescent="0.25">
      <c r="A23" t="s">
        <v>2</v>
      </c>
      <c r="B23" s="376"/>
      <c r="C23" s="377"/>
      <c r="D23" s="147" t="s">
        <v>127</v>
      </c>
      <c r="E23" s="105">
        <v>18</v>
      </c>
      <c r="F23" s="106">
        <v>0.65</v>
      </c>
      <c r="G23" s="96">
        <v>0.76100000000000001</v>
      </c>
      <c r="H23" s="96">
        <v>0.76100000000000001</v>
      </c>
      <c r="I23" s="96">
        <v>0.72070000000000001</v>
      </c>
      <c r="J23" s="96">
        <v>0.75449999999999995</v>
      </c>
      <c r="K23" s="96">
        <v>0.82110000000000005</v>
      </c>
      <c r="L23" s="96">
        <v>0.72070000000000001</v>
      </c>
      <c r="M23" s="96">
        <v>0.69569999999999999</v>
      </c>
      <c r="N23" s="96">
        <v>0.82340000000000002</v>
      </c>
      <c r="O23" s="96">
        <v>0.88690000000000002</v>
      </c>
      <c r="P23" s="96">
        <v>0.76890000000000003</v>
      </c>
      <c r="Q23" s="97">
        <v>0.62429999999999997</v>
      </c>
      <c r="R23" s="96">
        <v>0.82930000000000004</v>
      </c>
      <c r="S23" s="96">
        <v>0.86670000000000003</v>
      </c>
      <c r="T23" s="97">
        <v>0.53849999999999998</v>
      </c>
      <c r="U23" s="96">
        <v>0.72729999999999995</v>
      </c>
      <c r="V23" s="96">
        <v>0.78749999999999998</v>
      </c>
      <c r="W23" s="96">
        <v>0.77080000000000004</v>
      </c>
      <c r="X23" s="96">
        <v>0.85960000000000003</v>
      </c>
      <c r="Y23" s="96">
        <v>0.69750000000000001</v>
      </c>
      <c r="Z23" s="97">
        <v>0.45</v>
      </c>
      <c r="AA23" s="96">
        <v>0.86570000000000003</v>
      </c>
      <c r="AB23" s="96">
        <v>0.73170000000000002</v>
      </c>
      <c r="AC23" s="96">
        <v>0.91300000000000003</v>
      </c>
      <c r="AD23" s="96">
        <v>0.91110000000000002</v>
      </c>
      <c r="AE23" s="96">
        <v>0.80579999999999996</v>
      </c>
      <c r="AF23" s="96">
        <v>0.81110000000000004</v>
      </c>
      <c r="AG23" s="96">
        <v>1</v>
      </c>
      <c r="AH23" s="96">
        <v>0.92</v>
      </c>
      <c r="AI23" s="96">
        <v>0.8</v>
      </c>
      <c r="AJ23" s="96">
        <v>0.66669999999999996</v>
      </c>
      <c r="AK23" s="96">
        <v>0.94640000000000002</v>
      </c>
      <c r="AL23" s="107"/>
      <c r="AM23" s="107"/>
    </row>
    <row r="24" spans="1:39" hidden="1" x14ac:dyDescent="0.25">
      <c r="B24" s="376"/>
      <c r="C24" s="377"/>
      <c r="D24" s="148" t="s">
        <v>128</v>
      </c>
      <c r="E24" s="105">
        <v>19</v>
      </c>
      <c r="F24" s="106">
        <v>0.8</v>
      </c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07"/>
      <c r="AM24" s="107"/>
    </row>
    <row r="25" spans="1:39" hidden="1" x14ac:dyDescent="0.25">
      <c r="B25" s="376" t="s">
        <v>129</v>
      </c>
      <c r="C25" s="377" t="s">
        <v>130</v>
      </c>
      <c r="D25" s="148" t="s">
        <v>131</v>
      </c>
      <c r="E25" s="105">
        <v>20</v>
      </c>
      <c r="F25" s="106">
        <v>0.92</v>
      </c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07"/>
      <c r="AM25" s="107"/>
    </row>
    <row r="26" spans="1:39" x14ac:dyDescent="0.25">
      <c r="A26" t="s">
        <v>2</v>
      </c>
      <c r="B26" s="376"/>
      <c r="C26" s="377"/>
      <c r="D26" s="147" t="s">
        <v>132</v>
      </c>
      <c r="E26" s="105">
        <v>21</v>
      </c>
      <c r="F26" s="106">
        <v>0.9</v>
      </c>
      <c r="G26" s="97">
        <v>0.80200000000000005</v>
      </c>
      <c r="H26" s="125">
        <v>0.79400000000000004</v>
      </c>
      <c r="I26" s="97">
        <v>0.80989999999999995</v>
      </c>
      <c r="J26" s="97">
        <v>0.7712</v>
      </c>
      <c r="K26" s="97">
        <v>0.8226</v>
      </c>
      <c r="L26" s="97">
        <v>0.80989999999999995</v>
      </c>
      <c r="M26" s="97">
        <v>0.76700000000000002</v>
      </c>
      <c r="N26" s="97">
        <v>0.77869999999999995</v>
      </c>
      <c r="O26" s="97">
        <v>0.79500000000000004</v>
      </c>
      <c r="P26" s="97">
        <v>0.84389999999999998</v>
      </c>
      <c r="Q26" s="97">
        <v>0.8</v>
      </c>
      <c r="R26" s="97">
        <v>0.81420000000000003</v>
      </c>
      <c r="S26" s="97">
        <v>0.73240000000000005</v>
      </c>
      <c r="T26" s="97">
        <v>0.80559999999999998</v>
      </c>
      <c r="U26" s="97">
        <v>0.84660000000000002</v>
      </c>
      <c r="V26" s="97">
        <v>0.84350000000000003</v>
      </c>
      <c r="W26" s="97">
        <v>0.77739999999999998</v>
      </c>
      <c r="X26" s="97">
        <v>0.79830000000000001</v>
      </c>
      <c r="Y26" s="97">
        <v>0.72499999999999998</v>
      </c>
      <c r="Z26" s="97">
        <v>0.752</v>
      </c>
      <c r="AA26" s="97">
        <v>0.78100000000000003</v>
      </c>
      <c r="AB26" s="97">
        <v>0.83150000000000002</v>
      </c>
      <c r="AC26" s="97">
        <v>0.82579999999999998</v>
      </c>
      <c r="AD26" s="97">
        <v>0.7853</v>
      </c>
      <c r="AE26" s="97">
        <v>0.73150000000000004</v>
      </c>
      <c r="AF26" s="97">
        <v>0.82720000000000005</v>
      </c>
      <c r="AG26" s="97">
        <v>0.79169999999999996</v>
      </c>
      <c r="AH26" s="97">
        <v>0.78100000000000003</v>
      </c>
      <c r="AI26" s="97">
        <v>0.8478</v>
      </c>
      <c r="AJ26" s="97">
        <v>0.86229999999999996</v>
      </c>
      <c r="AK26" s="97">
        <v>0.81679999999999997</v>
      </c>
      <c r="AL26" s="107"/>
      <c r="AM26" s="107"/>
    </row>
    <row r="27" spans="1:39" x14ac:dyDescent="0.25">
      <c r="A27" t="s">
        <v>2</v>
      </c>
      <c r="B27" s="376"/>
      <c r="C27" s="377" t="s">
        <v>133</v>
      </c>
      <c r="D27" s="147" t="s">
        <v>134</v>
      </c>
      <c r="E27" s="105">
        <v>22</v>
      </c>
      <c r="F27" s="111">
        <v>3</v>
      </c>
      <c r="G27" s="101">
        <v>1.7</v>
      </c>
      <c r="H27" s="101">
        <v>2.5</v>
      </c>
      <c r="I27" s="101">
        <v>0.62</v>
      </c>
      <c r="J27" s="101">
        <v>0.42</v>
      </c>
      <c r="K27" s="101">
        <v>0.39</v>
      </c>
      <c r="L27" s="101">
        <v>0.62</v>
      </c>
      <c r="M27" s="101">
        <v>0.44</v>
      </c>
      <c r="N27" s="101">
        <v>0.39</v>
      </c>
      <c r="O27" s="101">
        <v>0.38</v>
      </c>
      <c r="P27" s="101">
        <v>0.39</v>
      </c>
      <c r="Q27" s="101">
        <v>0.41</v>
      </c>
      <c r="R27" s="101">
        <v>0.54</v>
      </c>
      <c r="S27" s="101">
        <v>1.44</v>
      </c>
      <c r="T27" s="101">
        <v>0.67</v>
      </c>
      <c r="U27" s="101">
        <v>7.0000000000000007E-2</v>
      </c>
      <c r="V27" s="101">
        <v>0.57999999999999996</v>
      </c>
      <c r="W27" s="101">
        <v>0.18</v>
      </c>
      <c r="X27" s="101">
        <v>0.41</v>
      </c>
      <c r="Y27" s="101">
        <v>0.63</v>
      </c>
      <c r="Z27" s="101">
        <v>0.34</v>
      </c>
      <c r="AA27" s="101">
        <v>0.83</v>
      </c>
      <c r="AB27" s="101">
        <v>0.28000000000000003</v>
      </c>
      <c r="AC27" s="101">
        <v>0.16</v>
      </c>
      <c r="AD27" s="101">
        <v>0.37</v>
      </c>
      <c r="AE27" s="101">
        <v>0.67</v>
      </c>
      <c r="AF27" s="101">
        <v>0.4</v>
      </c>
      <c r="AG27" s="101">
        <v>0.56999999999999995</v>
      </c>
      <c r="AH27" s="101">
        <v>7.0000000000000007E-2</v>
      </c>
      <c r="AI27" s="101">
        <v>0.52</v>
      </c>
      <c r="AJ27" s="101">
        <v>0.41</v>
      </c>
      <c r="AK27" s="101">
        <v>0.26</v>
      </c>
      <c r="AL27" s="107"/>
      <c r="AM27" s="107"/>
    </row>
    <row r="28" spans="1:39" x14ac:dyDescent="0.25">
      <c r="A28" t="s">
        <v>2</v>
      </c>
      <c r="B28" s="376"/>
      <c r="C28" s="377"/>
      <c r="D28" s="147" t="s">
        <v>135</v>
      </c>
      <c r="E28" s="105">
        <v>23</v>
      </c>
      <c r="F28" s="111">
        <v>7</v>
      </c>
      <c r="G28" s="101">
        <v>3.4</v>
      </c>
      <c r="H28" s="101">
        <v>1.9</v>
      </c>
      <c r="I28" s="101">
        <v>0.82</v>
      </c>
      <c r="J28" s="101">
        <v>0.7</v>
      </c>
      <c r="K28" s="101">
        <v>0.4</v>
      </c>
      <c r="L28" s="101">
        <v>0.82</v>
      </c>
      <c r="M28" s="101">
        <v>0.61</v>
      </c>
      <c r="N28" s="101">
        <v>0.86</v>
      </c>
      <c r="O28" s="101">
        <v>0.45</v>
      </c>
      <c r="P28" s="101">
        <v>0.36</v>
      </c>
      <c r="Q28" s="101">
        <v>0.94</v>
      </c>
      <c r="R28" s="101">
        <v>0.92</v>
      </c>
      <c r="S28" s="101">
        <v>1.05</v>
      </c>
      <c r="T28" s="101">
        <v>0</v>
      </c>
      <c r="U28" s="101">
        <v>0.52</v>
      </c>
      <c r="V28" s="101">
        <v>0.79</v>
      </c>
      <c r="W28" s="101">
        <v>0.78</v>
      </c>
      <c r="X28" s="101">
        <v>0.3</v>
      </c>
      <c r="Y28" s="101">
        <v>1.33</v>
      </c>
      <c r="Z28" s="101">
        <v>0.51</v>
      </c>
      <c r="AA28" s="101">
        <v>0.49</v>
      </c>
      <c r="AB28" s="101">
        <v>0.84</v>
      </c>
      <c r="AC28" s="101">
        <v>0.56000000000000005</v>
      </c>
      <c r="AD28" s="101">
        <v>0.82</v>
      </c>
      <c r="AE28" s="101">
        <v>1.1200000000000001</v>
      </c>
      <c r="AF28" s="101">
        <v>1.05</v>
      </c>
      <c r="AG28" s="101">
        <v>0.39</v>
      </c>
      <c r="AH28" s="101">
        <v>0.09</v>
      </c>
      <c r="AI28" s="101">
        <v>0.57999999999999996</v>
      </c>
      <c r="AJ28" s="101">
        <v>0.34</v>
      </c>
      <c r="AK28" s="101">
        <v>0.18</v>
      </c>
      <c r="AL28" s="107"/>
      <c r="AM28" s="107"/>
    </row>
    <row r="29" spans="1:39" ht="12" customHeight="1" x14ac:dyDescent="0.25">
      <c r="A29" t="s">
        <v>2</v>
      </c>
      <c r="B29" s="376"/>
      <c r="C29" s="377"/>
      <c r="D29" s="147" t="s">
        <v>136</v>
      </c>
      <c r="E29" s="105">
        <v>24</v>
      </c>
      <c r="F29" s="106">
        <v>0.8</v>
      </c>
      <c r="G29" s="97">
        <v>0.54500000000000004</v>
      </c>
      <c r="H29" s="97">
        <v>0.60299999999999998</v>
      </c>
      <c r="I29" s="97">
        <v>0.5373</v>
      </c>
      <c r="J29" s="97">
        <v>0.64149999999999996</v>
      </c>
      <c r="K29" s="97">
        <v>0.62549999999999994</v>
      </c>
      <c r="L29" s="97">
        <v>0.5373</v>
      </c>
      <c r="M29" s="97">
        <v>0.63160000000000005</v>
      </c>
      <c r="N29" s="97">
        <v>0.65639999999999998</v>
      </c>
      <c r="O29" s="97">
        <v>0.5776</v>
      </c>
      <c r="P29" s="97">
        <v>0.67230000000000001</v>
      </c>
      <c r="Q29" s="97">
        <v>0.49370000000000003</v>
      </c>
      <c r="R29" s="97">
        <v>0.60529999999999995</v>
      </c>
      <c r="S29" s="97">
        <v>0.47370000000000001</v>
      </c>
      <c r="T29" s="97">
        <v>0.28570000000000001</v>
      </c>
      <c r="U29" s="96">
        <v>0.8125</v>
      </c>
      <c r="V29" s="97">
        <v>0.58620000000000005</v>
      </c>
      <c r="W29" s="97">
        <v>0.64859999999999995</v>
      </c>
      <c r="X29" s="97">
        <v>0.5333</v>
      </c>
      <c r="Y29" s="97">
        <v>0.5161</v>
      </c>
      <c r="Z29" s="97">
        <v>0.75</v>
      </c>
      <c r="AA29" s="97">
        <v>0.72089999999999999</v>
      </c>
      <c r="AB29" s="97">
        <v>0.69440000000000002</v>
      </c>
      <c r="AC29" s="97">
        <v>0.5</v>
      </c>
      <c r="AD29" s="97">
        <v>0.73809999999999998</v>
      </c>
      <c r="AE29" s="97">
        <v>0.62690000000000001</v>
      </c>
      <c r="AF29" s="97">
        <v>0.53190000000000004</v>
      </c>
      <c r="AG29" s="97">
        <v>0.5968</v>
      </c>
      <c r="AH29" s="97">
        <v>0.71430000000000005</v>
      </c>
      <c r="AI29" s="97">
        <v>0.63639999999999997</v>
      </c>
      <c r="AJ29" s="97">
        <v>0.7</v>
      </c>
      <c r="AK29" s="97">
        <v>0.70830000000000004</v>
      </c>
      <c r="AL29" s="107"/>
      <c r="AM29" s="107"/>
    </row>
    <row r="30" spans="1:39" x14ac:dyDescent="0.25">
      <c r="B30" s="376"/>
      <c r="C30" s="376" t="s">
        <v>83</v>
      </c>
      <c r="D30" s="118" t="s">
        <v>137</v>
      </c>
      <c r="E30" s="20">
        <v>25</v>
      </c>
      <c r="F30" s="119">
        <v>0.73</v>
      </c>
      <c r="G30" s="127"/>
      <c r="H30" s="146">
        <v>0.83076666666666676</v>
      </c>
      <c r="I30" s="96">
        <v>0.83509999999999995</v>
      </c>
      <c r="J30" s="96">
        <v>0.81940000000000002</v>
      </c>
      <c r="K30" s="96">
        <v>0.83779999999999999</v>
      </c>
      <c r="L30" s="96">
        <v>0.83509999999999995</v>
      </c>
      <c r="M30" s="96">
        <v>0.8014</v>
      </c>
      <c r="N30" s="96">
        <v>0.84619999999999995</v>
      </c>
      <c r="O30" s="96">
        <v>0.85</v>
      </c>
      <c r="P30" s="96">
        <v>0.82940000000000003</v>
      </c>
      <c r="Q30" s="96">
        <v>0.88319999999999999</v>
      </c>
      <c r="R30" s="96">
        <v>0.77380000000000004</v>
      </c>
      <c r="S30" s="96">
        <v>0.79310000000000003</v>
      </c>
      <c r="T30" s="96">
        <v>0.8095</v>
      </c>
      <c r="U30" s="96">
        <v>0.8679</v>
      </c>
      <c r="V30" s="96">
        <v>0.8407</v>
      </c>
      <c r="W30" s="96">
        <v>0.8095</v>
      </c>
      <c r="X30" s="96">
        <v>0.83930000000000005</v>
      </c>
      <c r="Y30" s="97">
        <v>0.70830000000000004</v>
      </c>
      <c r="Z30" s="96">
        <v>0.79410000000000003</v>
      </c>
      <c r="AA30" s="99"/>
      <c r="AB30" s="96">
        <v>0.85709999999999997</v>
      </c>
      <c r="AC30" s="96">
        <v>0.8095</v>
      </c>
      <c r="AD30" s="96">
        <v>0.80649999999999999</v>
      </c>
      <c r="AE30" s="96">
        <v>0.88890000000000002</v>
      </c>
      <c r="AF30" s="96">
        <v>0.81630000000000003</v>
      </c>
      <c r="AG30" s="96">
        <v>0.8609</v>
      </c>
      <c r="AH30" s="96">
        <v>0.85</v>
      </c>
      <c r="AI30" s="96">
        <v>0.82940000000000003</v>
      </c>
      <c r="AJ30" s="96">
        <v>0.8</v>
      </c>
      <c r="AK30" s="96">
        <v>0.87970000000000004</v>
      </c>
      <c r="AL30" s="107"/>
      <c r="AM30" s="107"/>
    </row>
    <row r="31" spans="1:39" x14ac:dyDescent="0.25">
      <c r="A31" t="s">
        <v>2</v>
      </c>
      <c r="B31" s="376"/>
      <c r="C31" s="376"/>
      <c r="D31" s="118" t="s">
        <v>138</v>
      </c>
      <c r="E31" s="20">
        <v>26</v>
      </c>
      <c r="F31" s="119">
        <v>0.8</v>
      </c>
      <c r="G31" s="96">
        <v>0.83299999999999996</v>
      </c>
      <c r="H31" s="96">
        <v>0.83299999999999996</v>
      </c>
      <c r="I31" s="96">
        <v>0.83809999999999996</v>
      </c>
      <c r="J31" s="96">
        <v>0.82230000000000003</v>
      </c>
      <c r="K31" s="96">
        <v>0.83950000000000002</v>
      </c>
      <c r="L31" s="96">
        <v>0.83809999999999996</v>
      </c>
      <c r="M31" s="96">
        <v>0.80640000000000001</v>
      </c>
      <c r="N31" s="96">
        <v>0.84560000000000002</v>
      </c>
      <c r="O31" s="96">
        <v>0.85599999999999998</v>
      </c>
      <c r="P31" s="96">
        <v>0.83140000000000003</v>
      </c>
      <c r="Q31" s="96">
        <v>0.88319999999999999</v>
      </c>
      <c r="R31" s="97">
        <v>0.79520000000000002</v>
      </c>
      <c r="S31" s="97">
        <v>0.79069999999999996</v>
      </c>
      <c r="T31" s="96">
        <v>0.8095</v>
      </c>
      <c r="U31" s="96">
        <v>0.8679</v>
      </c>
      <c r="V31" s="96">
        <v>0.8407</v>
      </c>
      <c r="W31" s="96">
        <v>0.8095</v>
      </c>
      <c r="X31" s="96">
        <v>0.83930000000000005</v>
      </c>
      <c r="Y31" s="97">
        <v>0.73909999999999998</v>
      </c>
      <c r="Z31" s="97">
        <v>0.79849999999999999</v>
      </c>
      <c r="AA31" s="128" t="s">
        <v>66</v>
      </c>
      <c r="AB31" s="96">
        <v>0.85709999999999997</v>
      </c>
      <c r="AC31" s="96">
        <v>0.8095</v>
      </c>
      <c r="AD31" s="96">
        <v>0.80649999999999999</v>
      </c>
      <c r="AE31" s="96">
        <v>0.88759999999999994</v>
      </c>
      <c r="AF31" s="96">
        <v>0.85419999999999996</v>
      </c>
      <c r="AG31" s="96">
        <v>0.85909999999999997</v>
      </c>
      <c r="AH31" s="96">
        <v>0.85</v>
      </c>
      <c r="AI31" s="96">
        <v>0.82940000000000003</v>
      </c>
      <c r="AJ31" s="97">
        <v>0.79890000000000005</v>
      </c>
      <c r="AK31" s="96">
        <v>0.87970000000000004</v>
      </c>
      <c r="AL31" s="107"/>
      <c r="AM31" s="107"/>
    </row>
    <row r="32" spans="1:39" x14ac:dyDescent="0.25">
      <c r="A32" t="s">
        <v>1</v>
      </c>
      <c r="B32" s="376"/>
      <c r="C32" s="376"/>
      <c r="D32" s="118" t="s">
        <v>19</v>
      </c>
      <c r="E32" s="20">
        <v>27</v>
      </c>
      <c r="F32" s="119">
        <v>0.69</v>
      </c>
      <c r="G32" s="139">
        <v>0.71</v>
      </c>
      <c r="H32" s="139">
        <v>0.71</v>
      </c>
      <c r="I32" s="139">
        <v>0.67</v>
      </c>
      <c r="J32" s="139">
        <v>0.75</v>
      </c>
      <c r="K32" s="139">
        <v>0.67</v>
      </c>
      <c r="L32" s="139">
        <v>0.67</v>
      </c>
      <c r="M32" s="139">
        <v>0.73</v>
      </c>
      <c r="N32" s="139">
        <v>0.77</v>
      </c>
      <c r="O32" s="139">
        <v>0.64</v>
      </c>
      <c r="P32" s="139">
        <v>0.7</v>
      </c>
      <c r="Q32" s="139">
        <v>0.72</v>
      </c>
      <c r="R32" s="139">
        <v>0.62</v>
      </c>
      <c r="S32" s="139">
        <v>0.39</v>
      </c>
      <c r="T32" s="139">
        <v>0.85</v>
      </c>
      <c r="U32" s="139">
        <v>0.71</v>
      </c>
      <c r="V32" s="139">
        <v>0.76</v>
      </c>
      <c r="W32" s="139">
        <v>0.84</v>
      </c>
      <c r="X32" s="139">
        <v>0.7</v>
      </c>
      <c r="Y32" s="139">
        <v>0.69</v>
      </c>
      <c r="Z32" s="139">
        <v>0.73</v>
      </c>
      <c r="AA32" s="139">
        <v>0.68</v>
      </c>
      <c r="AB32" s="139">
        <v>0.75</v>
      </c>
      <c r="AC32" s="139">
        <v>0.79</v>
      </c>
      <c r="AD32" s="139">
        <v>0.79</v>
      </c>
      <c r="AE32" s="139">
        <v>0.77</v>
      </c>
      <c r="AF32" s="139">
        <v>0.35</v>
      </c>
      <c r="AG32" s="139">
        <v>0.72</v>
      </c>
      <c r="AH32" s="139">
        <v>0.79</v>
      </c>
      <c r="AI32" s="139">
        <v>0.63</v>
      </c>
      <c r="AJ32" s="139">
        <v>0.72</v>
      </c>
      <c r="AK32" s="139">
        <v>0.77</v>
      </c>
      <c r="AL32" s="107"/>
      <c r="AM32" s="107"/>
    </row>
    <row r="33" spans="2:39" ht="15" customHeight="1" x14ac:dyDescent="0.25">
      <c r="B33" s="378" t="s">
        <v>139</v>
      </c>
      <c r="C33" s="378"/>
      <c r="D33" s="150" t="s">
        <v>140</v>
      </c>
      <c r="E33" s="105">
        <v>28</v>
      </c>
      <c r="F33" s="152">
        <v>0.8</v>
      </c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31"/>
      <c r="AM33" s="131"/>
    </row>
    <row r="34" spans="2:39" ht="15" customHeight="1" x14ac:dyDescent="0.25">
      <c r="B34" s="378"/>
      <c r="C34" s="378"/>
      <c r="D34" s="150" t="s">
        <v>141</v>
      </c>
      <c r="E34" s="105">
        <v>29</v>
      </c>
      <c r="F34" s="152">
        <v>0.9</v>
      </c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31"/>
      <c r="AM34" s="131"/>
    </row>
    <row r="35" spans="2:39" ht="15" customHeight="1" x14ac:dyDescent="0.25">
      <c r="B35" s="378"/>
      <c r="C35" s="378"/>
      <c r="D35" s="150" t="s">
        <v>142</v>
      </c>
      <c r="E35" s="105">
        <v>30</v>
      </c>
      <c r="F35" s="152">
        <v>1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1"/>
      <c r="AM35" s="131"/>
    </row>
    <row r="36" spans="2:39" ht="15" customHeight="1" x14ac:dyDescent="0.25">
      <c r="B36" s="378"/>
      <c r="C36" s="378"/>
      <c r="D36" s="150" t="s">
        <v>143</v>
      </c>
      <c r="E36" s="105">
        <v>31</v>
      </c>
      <c r="F36" s="25">
        <v>0.95</v>
      </c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31"/>
      <c r="AM36" s="131"/>
    </row>
    <row r="37" spans="2:39" ht="15" customHeight="1" x14ac:dyDescent="0.25">
      <c r="B37" s="378"/>
      <c r="C37" s="378"/>
      <c r="D37" s="150" t="s">
        <v>144</v>
      </c>
      <c r="E37" s="105">
        <v>32</v>
      </c>
      <c r="F37" s="25">
        <v>1</v>
      </c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31"/>
      <c r="AM37" s="131"/>
    </row>
    <row r="38" spans="2:39" ht="15" customHeight="1" x14ac:dyDescent="0.25">
      <c r="B38" s="378"/>
      <c r="C38" s="378"/>
      <c r="D38" s="150" t="s">
        <v>145</v>
      </c>
      <c r="E38" s="105">
        <v>33</v>
      </c>
      <c r="F38" s="25">
        <v>0.95</v>
      </c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31"/>
      <c r="AM38" s="131"/>
    </row>
    <row r="39" spans="2:39" ht="15" customHeight="1" x14ac:dyDescent="0.25">
      <c r="B39" s="378"/>
      <c r="C39" s="378"/>
      <c r="D39" s="150" t="s">
        <v>146</v>
      </c>
      <c r="E39" s="105">
        <v>34</v>
      </c>
      <c r="F39" s="25">
        <v>1</v>
      </c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31"/>
      <c r="AM39" s="131"/>
    </row>
    <row r="40" spans="2:39" ht="15" customHeight="1" x14ac:dyDescent="0.25">
      <c r="B40" s="378"/>
      <c r="C40" s="378"/>
      <c r="D40" s="150" t="s">
        <v>147</v>
      </c>
      <c r="E40" s="105">
        <v>35</v>
      </c>
      <c r="F40" s="25">
        <v>0.8</v>
      </c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31"/>
      <c r="AM40" s="131"/>
    </row>
    <row r="41" spans="2:39" ht="15" customHeight="1" x14ac:dyDescent="0.25">
      <c r="B41" s="378"/>
      <c r="C41" s="378"/>
      <c r="D41" s="150" t="s">
        <v>148</v>
      </c>
      <c r="E41" s="105">
        <v>36</v>
      </c>
      <c r="F41" s="25">
        <v>0.9</v>
      </c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31"/>
      <c r="AM41" s="131"/>
    </row>
    <row r="42" spans="2:39" ht="15" customHeight="1" x14ac:dyDescent="0.25">
      <c r="B42" s="378"/>
      <c r="C42" s="378"/>
      <c r="D42" s="150" t="s">
        <v>149</v>
      </c>
      <c r="E42" s="105">
        <v>37</v>
      </c>
      <c r="F42" s="25">
        <v>0.95</v>
      </c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31"/>
      <c r="AM42" s="131"/>
    </row>
    <row r="43" spans="2:39" ht="15" customHeight="1" x14ac:dyDescent="0.25">
      <c r="B43" s="378"/>
      <c r="C43" s="378"/>
      <c r="D43" s="150" t="s">
        <v>150</v>
      </c>
      <c r="E43" s="105">
        <v>38</v>
      </c>
      <c r="F43" s="25">
        <v>1</v>
      </c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31"/>
      <c r="AM43" s="131"/>
    </row>
    <row r="44" spans="2:39" ht="15" customHeight="1" x14ac:dyDescent="0.25">
      <c r="B44" s="378"/>
      <c r="C44" s="378"/>
      <c r="D44" s="150" t="s">
        <v>151</v>
      </c>
      <c r="E44" s="105">
        <v>39</v>
      </c>
      <c r="F44" s="25">
        <v>0.95</v>
      </c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31"/>
      <c r="AM44" s="131"/>
    </row>
    <row r="45" spans="2:39" ht="15" customHeight="1" x14ac:dyDescent="0.25">
      <c r="B45" s="378"/>
      <c r="C45" s="378"/>
      <c r="D45" s="150" t="s">
        <v>152</v>
      </c>
      <c r="E45" s="105">
        <v>40</v>
      </c>
      <c r="F45" s="25">
        <v>1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31"/>
      <c r="AM45" s="131"/>
    </row>
  </sheetData>
  <mergeCells count="29">
    <mergeCell ref="AF3:AH3"/>
    <mergeCell ref="AI3:AK3"/>
    <mergeCell ref="AL2:AL3"/>
    <mergeCell ref="H2:K3"/>
    <mergeCell ref="L2:P3"/>
    <mergeCell ref="Q2:V2"/>
    <mergeCell ref="W2:AE2"/>
    <mergeCell ref="AF2:AK2"/>
    <mergeCell ref="AL4:AM4"/>
    <mergeCell ref="B5:B12"/>
    <mergeCell ref="C6:C12"/>
    <mergeCell ref="B13:B24"/>
    <mergeCell ref="C13:C18"/>
    <mergeCell ref="C19:C24"/>
    <mergeCell ref="B2:B4"/>
    <mergeCell ref="C2:C4"/>
    <mergeCell ref="D2:D4"/>
    <mergeCell ref="E2:E4"/>
    <mergeCell ref="F2:F4"/>
    <mergeCell ref="G2:G4"/>
    <mergeCell ref="AM2:AM3"/>
    <mergeCell ref="Q3:V3"/>
    <mergeCell ref="W3:AA3"/>
    <mergeCell ref="AB3:AE3"/>
    <mergeCell ref="B25:B32"/>
    <mergeCell ref="C25:C26"/>
    <mergeCell ref="C27:C29"/>
    <mergeCell ref="C30:C32"/>
    <mergeCell ref="B33:C45"/>
  </mergeCells>
  <conditionalFormatting sqref="G20:X20 Z20:AK20">
    <cfRule type="cellIs" dxfId="514" priority="41" operator="equal">
      <formula>"-"</formula>
    </cfRule>
    <cfRule type="cellIs" dxfId="513" priority="42" operator="lessThan">
      <formula>0.75</formula>
    </cfRule>
    <cfRule type="cellIs" dxfId="512" priority="43" operator="between">
      <formula>0.75</formula>
      <formula>0.8</formula>
    </cfRule>
    <cfRule type="cellIs" dxfId="511" priority="44" operator="greaterThanOrEqual">
      <formula>0.8</formula>
    </cfRule>
  </conditionalFormatting>
  <conditionalFormatting sqref="G19:AK19">
    <cfRule type="containsBlanks" dxfId="510" priority="57">
      <formula>LEN(TRIM(G19))=0</formula>
    </cfRule>
    <cfRule type="cellIs" dxfId="509" priority="58" operator="equal">
      <formula>"-"</formula>
    </cfRule>
    <cfRule type="cellIs" dxfId="508" priority="59" operator="lessThan">
      <formula>0.9</formula>
    </cfRule>
    <cfRule type="cellIs" dxfId="507" priority="60" operator="greaterThanOrEqual">
      <formula>0.9</formula>
    </cfRule>
  </conditionalFormatting>
  <conditionalFormatting sqref="G22:AK22">
    <cfRule type="cellIs" dxfId="506" priority="29" operator="equal">
      <formula>"-"</formula>
    </cfRule>
    <cfRule type="cellIs" dxfId="505" priority="30" operator="lessThan">
      <formula>0.7</formula>
    </cfRule>
    <cfRule type="cellIs" dxfId="504" priority="31" operator="greaterThanOrEqual">
      <formula>0.7</formula>
    </cfRule>
  </conditionalFormatting>
  <conditionalFormatting sqref="G32:AK32">
    <cfRule type="cellIs" dxfId="503" priority="1" operator="greaterThanOrEqual">
      <formula>0.68</formula>
    </cfRule>
    <cfRule type="cellIs" dxfId="502" priority="2" operator="lessThan">
      <formula>0.68</formula>
    </cfRule>
  </conditionalFormatting>
  <conditionalFormatting sqref="Q33:AK33">
    <cfRule type="cellIs" dxfId="501" priority="159" operator="lessThan">
      <formula>0.8</formula>
    </cfRule>
    <cfRule type="cellIs" dxfId="500" priority="160" operator="greaterThanOrEqual">
      <formula>0.8</formula>
    </cfRule>
  </conditionalFormatting>
  <conditionalFormatting sqref="Q33:AK34">
    <cfRule type="cellIs" dxfId="499" priority="154" operator="equal">
      <formula>"-"</formula>
    </cfRule>
  </conditionalFormatting>
  <conditionalFormatting sqref="Q33:AK35">
    <cfRule type="cellIs" dxfId="498" priority="150" operator="greaterThan">
      <formula>1</formula>
    </cfRule>
  </conditionalFormatting>
  <conditionalFormatting sqref="Q34:AK34">
    <cfRule type="cellIs" dxfId="497" priority="155" operator="lessThan">
      <formula>0.9</formula>
    </cfRule>
    <cfRule type="cellIs" dxfId="496" priority="156" operator="greaterThanOrEqual">
      <formula>0.9</formula>
    </cfRule>
  </conditionalFormatting>
  <conditionalFormatting sqref="Q35:AK35">
    <cfRule type="cellIs" dxfId="495" priority="151" operator="lessThan">
      <formula>1</formula>
    </cfRule>
    <cfRule type="cellIs" dxfId="494" priority="152" operator="equal">
      <formula>1</formula>
    </cfRule>
  </conditionalFormatting>
  <conditionalFormatting sqref="Q36:AK36 Q38:AK38 Q42:AK42 Q44:AK44">
    <cfRule type="cellIs" dxfId="493" priority="120" operator="greaterThanOrEqual">
      <formula>0.95</formula>
    </cfRule>
    <cfRule type="cellIs" dxfId="492" priority="121" operator="lessThan">
      <formula>0.95</formula>
    </cfRule>
  </conditionalFormatting>
  <conditionalFormatting sqref="Q37:AK37 Q39:AK39 Q43:AK43 Q45:AK45">
    <cfRule type="cellIs" dxfId="491" priority="122" operator="lessThan">
      <formula>1</formula>
    </cfRule>
  </conditionalFormatting>
  <conditionalFormatting sqref="Q40:AK40">
    <cfRule type="cellIs" dxfId="490" priority="135" operator="equal">
      <formula>"-"</formula>
    </cfRule>
    <cfRule type="cellIs" dxfId="489" priority="136" operator="lessThan">
      <formula>0.8</formula>
    </cfRule>
    <cfRule type="cellIs" dxfId="488" priority="137" operator="greaterThan">
      <formula>0.8</formula>
    </cfRule>
  </conditionalFormatting>
  <conditionalFormatting sqref="Q41:AK41">
    <cfRule type="cellIs" dxfId="487" priority="132" operator="equal">
      <formula>"-"</formula>
    </cfRule>
    <cfRule type="cellIs" dxfId="486" priority="133" operator="lessThan">
      <formula>0.9</formula>
    </cfRule>
    <cfRule type="cellIs" dxfId="485" priority="134" operator="greaterThanOrEqual">
      <formula>0.9</formula>
    </cfRule>
  </conditionalFormatting>
  <pageMargins left="0.7" right="0.7" top="0.75" bottom="0.75" header="0.3" footer="0.3"/>
  <pageSetup paperSize="9" orientation="landscape" horizontalDpi="4294967293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AM45"/>
  <sheetViews>
    <sheetView zoomScale="85" zoomScaleNormal="85" workbookViewId="0">
      <selection activeCell="A24" sqref="A24:XFD25"/>
    </sheetView>
  </sheetViews>
  <sheetFormatPr defaultRowHeight="15" x14ac:dyDescent="0.25"/>
  <cols>
    <col min="2" max="2" width="10.42578125" bestFit="1" customWidth="1"/>
    <col min="3" max="3" width="19.42578125" style="117" customWidth="1"/>
    <col min="4" max="4" width="64.28515625" bestFit="1" customWidth="1"/>
    <col min="5" max="5" width="3.28515625" bestFit="1" customWidth="1"/>
    <col min="6" max="6" width="7" bestFit="1" customWidth="1"/>
    <col min="7" max="7" width="11.42578125" customWidth="1"/>
    <col min="8" max="8" width="9.5703125" bestFit="1" customWidth="1"/>
    <col min="38" max="39" width="17.7109375" customWidth="1"/>
  </cols>
  <sheetData>
    <row r="2" spans="1:39" x14ac:dyDescent="0.25">
      <c r="B2" s="378" t="s">
        <v>36</v>
      </c>
      <c r="C2" s="378" t="s">
        <v>37</v>
      </c>
      <c r="D2" s="380" t="s">
        <v>153</v>
      </c>
      <c r="E2" s="383" t="s">
        <v>24</v>
      </c>
      <c r="F2" s="383" t="s">
        <v>39</v>
      </c>
      <c r="G2" s="384" t="s">
        <v>40</v>
      </c>
      <c r="H2" s="383" t="s">
        <v>41</v>
      </c>
      <c r="I2" s="383"/>
      <c r="J2" s="383"/>
      <c r="K2" s="383"/>
      <c r="L2" s="383" t="s">
        <v>100</v>
      </c>
      <c r="M2" s="387"/>
      <c r="N2" s="387"/>
      <c r="O2" s="387"/>
      <c r="P2" s="387"/>
      <c r="Q2" s="383" t="s">
        <v>42</v>
      </c>
      <c r="R2" s="383"/>
      <c r="S2" s="383"/>
      <c r="T2" s="383"/>
      <c r="U2" s="383"/>
      <c r="V2" s="383"/>
      <c r="W2" s="384" t="s">
        <v>43</v>
      </c>
      <c r="X2" s="384"/>
      <c r="Y2" s="384"/>
      <c r="Z2" s="384"/>
      <c r="AA2" s="384"/>
      <c r="AB2" s="384"/>
      <c r="AC2" s="384"/>
      <c r="AD2" s="384"/>
      <c r="AE2" s="384"/>
      <c r="AF2" s="384" t="s">
        <v>44</v>
      </c>
      <c r="AG2" s="384"/>
      <c r="AH2" s="384"/>
      <c r="AI2" s="384"/>
      <c r="AJ2" s="384"/>
      <c r="AK2" s="384"/>
      <c r="AL2" s="383" t="s">
        <v>28</v>
      </c>
      <c r="AM2" s="383" t="s">
        <v>29</v>
      </c>
    </row>
    <row r="3" spans="1:39" x14ac:dyDescent="0.25">
      <c r="B3" s="378"/>
      <c r="C3" s="378"/>
      <c r="D3" s="381"/>
      <c r="E3" s="383"/>
      <c r="F3" s="383"/>
      <c r="G3" s="384"/>
      <c r="H3" s="383"/>
      <c r="I3" s="383"/>
      <c r="J3" s="383"/>
      <c r="K3" s="383"/>
      <c r="L3" s="387"/>
      <c r="M3" s="387"/>
      <c r="N3" s="387"/>
      <c r="O3" s="387"/>
      <c r="P3" s="387"/>
      <c r="Q3" s="385" t="s">
        <v>42</v>
      </c>
      <c r="R3" s="385"/>
      <c r="S3" s="385"/>
      <c r="T3" s="385"/>
      <c r="U3" s="385"/>
      <c r="V3" s="385"/>
      <c r="W3" s="386" t="s">
        <v>101</v>
      </c>
      <c r="X3" s="386"/>
      <c r="Y3" s="386"/>
      <c r="Z3" s="386"/>
      <c r="AA3" s="386"/>
      <c r="AB3" s="386" t="s">
        <v>102</v>
      </c>
      <c r="AC3" s="386"/>
      <c r="AD3" s="386"/>
      <c r="AE3" s="386"/>
      <c r="AF3" s="385" t="s">
        <v>103</v>
      </c>
      <c r="AG3" s="385"/>
      <c r="AH3" s="385"/>
      <c r="AI3" s="385" t="s">
        <v>104</v>
      </c>
      <c r="AJ3" s="385"/>
      <c r="AK3" s="385"/>
      <c r="AL3" s="383"/>
      <c r="AM3" s="383"/>
    </row>
    <row r="4" spans="1:39" ht="15" customHeight="1" x14ac:dyDescent="0.25">
      <c r="B4" s="378"/>
      <c r="C4" s="378"/>
      <c r="D4" s="382"/>
      <c r="E4" s="383"/>
      <c r="F4" s="383"/>
      <c r="G4" s="384"/>
      <c r="H4" s="104" t="s">
        <v>45</v>
      </c>
      <c r="I4" s="105" t="s">
        <v>26</v>
      </c>
      <c r="J4" s="105" t="s">
        <v>46</v>
      </c>
      <c r="K4" s="105" t="s">
        <v>91</v>
      </c>
      <c r="L4" s="105" t="s">
        <v>26</v>
      </c>
      <c r="M4" s="105" t="s">
        <v>105</v>
      </c>
      <c r="N4" s="105" t="s">
        <v>106</v>
      </c>
      <c r="O4" s="105" t="s">
        <v>103</v>
      </c>
      <c r="P4" s="105" t="s">
        <v>107</v>
      </c>
      <c r="Q4" s="105" t="s">
        <v>27</v>
      </c>
      <c r="R4" s="105" t="s">
        <v>30</v>
      </c>
      <c r="S4" s="105" t="s">
        <v>31</v>
      </c>
      <c r="T4" s="105" t="s">
        <v>32</v>
      </c>
      <c r="U4" s="105" t="s">
        <v>33</v>
      </c>
      <c r="V4" s="105" t="s">
        <v>34</v>
      </c>
      <c r="W4" s="105" t="s">
        <v>47</v>
      </c>
      <c r="X4" s="105" t="s">
        <v>48</v>
      </c>
      <c r="Y4" s="105" t="s">
        <v>49</v>
      </c>
      <c r="Z4" s="105" t="s">
        <v>50</v>
      </c>
      <c r="AA4" s="105" t="s">
        <v>51</v>
      </c>
      <c r="AB4" s="105" t="s">
        <v>52</v>
      </c>
      <c r="AC4" s="105" t="s">
        <v>53</v>
      </c>
      <c r="AD4" s="105" t="s">
        <v>54</v>
      </c>
      <c r="AE4" s="105" t="s">
        <v>55</v>
      </c>
      <c r="AF4" s="105" t="s">
        <v>56</v>
      </c>
      <c r="AG4" s="105" t="s">
        <v>57</v>
      </c>
      <c r="AH4" s="105" t="s">
        <v>58</v>
      </c>
      <c r="AI4" s="105" t="s">
        <v>59</v>
      </c>
      <c r="AJ4" s="105" t="s">
        <v>60</v>
      </c>
      <c r="AK4" s="105" t="s">
        <v>61</v>
      </c>
      <c r="AL4" s="379" t="s">
        <v>62</v>
      </c>
      <c r="AM4" s="379"/>
    </row>
    <row r="5" spans="1:39" s="115" customFormat="1" x14ac:dyDescent="0.25">
      <c r="A5" t="s">
        <v>2</v>
      </c>
      <c r="B5" s="376" t="s">
        <v>63</v>
      </c>
      <c r="C5" s="116" t="s">
        <v>64</v>
      </c>
      <c r="D5" s="112" t="s">
        <v>108</v>
      </c>
      <c r="E5" s="105">
        <v>1</v>
      </c>
      <c r="F5" s="113">
        <v>0.03</v>
      </c>
      <c r="G5" s="96">
        <v>2.3E-2</v>
      </c>
      <c r="H5" s="96">
        <v>1.6500000000000001E-2</v>
      </c>
      <c r="I5" s="96">
        <v>1.7100000000000001E-2</v>
      </c>
      <c r="J5" s="96">
        <v>2.07E-2</v>
      </c>
      <c r="K5" s="96">
        <v>1.18E-2</v>
      </c>
      <c r="L5" s="96">
        <v>1.7100000000000001E-2</v>
      </c>
      <c r="M5" s="96">
        <v>1.7299999999999999E-2</v>
      </c>
      <c r="N5" s="96">
        <v>2.5999999999999999E-2</v>
      </c>
      <c r="O5" s="96">
        <v>1.9800000000000002E-2</v>
      </c>
      <c r="P5" s="96">
        <v>8.6999999999999994E-3</v>
      </c>
      <c r="Q5" s="96">
        <v>1.3899999999999999E-2</v>
      </c>
      <c r="R5" s="96">
        <v>2.1700000000000001E-2</v>
      </c>
      <c r="S5" s="96">
        <v>1.41E-2</v>
      </c>
      <c r="T5" s="97">
        <v>5.3199999999999997E-2</v>
      </c>
      <c r="U5" s="97">
        <v>3.4200000000000001E-2</v>
      </c>
      <c r="V5" s="96">
        <v>8.8000000000000005E-3</v>
      </c>
      <c r="W5" s="96">
        <v>1.04E-2</v>
      </c>
      <c r="X5" s="96">
        <v>2.86E-2</v>
      </c>
      <c r="Y5" s="96">
        <v>2.29E-2</v>
      </c>
      <c r="Z5" s="96">
        <v>1.2E-2</v>
      </c>
      <c r="AA5" s="97">
        <v>3.1899999999999998E-2</v>
      </c>
      <c r="AB5" s="96">
        <v>2.8000000000000001E-2</v>
      </c>
      <c r="AC5" s="96">
        <v>2.3400000000000001E-2</v>
      </c>
      <c r="AD5" s="96">
        <v>2.5100000000000001E-2</v>
      </c>
      <c r="AE5" s="96">
        <v>2.81E-2</v>
      </c>
      <c r="AF5" s="96">
        <v>2.7300000000000001E-2</v>
      </c>
      <c r="AG5" s="96">
        <v>1.09E-2</v>
      </c>
      <c r="AH5" s="97">
        <v>4.2700000000000002E-2</v>
      </c>
      <c r="AI5" s="96">
        <v>7.0000000000000001E-3</v>
      </c>
      <c r="AJ5" s="96">
        <v>7.7000000000000002E-3</v>
      </c>
      <c r="AK5" s="96">
        <v>1.35E-2</v>
      </c>
      <c r="AL5" s="114"/>
      <c r="AM5" s="114"/>
    </row>
    <row r="6" spans="1:39" x14ac:dyDescent="0.25">
      <c r="B6" s="376"/>
      <c r="C6" s="377" t="s">
        <v>109</v>
      </c>
      <c r="D6" s="122" t="s">
        <v>110</v>
      </c>
      <c r="E6" s="105">
        <v>2</v>
      </c>
      <c r="F6" s="111">
        <v>4</v>
      </c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07"/>
      <c r="AM6" s="107"/>
    </row>
    <row r="7" spans="1:39" x14ac:dyDescent="0.25">
      <c r="A7" t="s">
        <v>2</v>
      </c>
      <c r="B7" s="376"/>
      <c r="C7" s="377"/>
      <c r="D7" s="108" t="s">
        <v>111</v>
      </c>
      <c r="E7" s="105">
        <v>3</v>
      </c>
      <c r="F7" s="106">
        <v>0.75</v>
      </c>
      <c r="G7" s="135" t="s">
        <v>66</v>
      </c>
      <c r="H7" s="97">
        <v>0.66800000000000004</v>
      </c>
      <c r="I7" s="97">
        <v>0.63439999999999996</v>
      </c>
      <c r="J7" s="97">
        <v>0.56669999999999998</v>
      </c>
      <c r="K7" s="96">
        <v>0.8236</v>
      </c>
      <c r="L7" s="97">
        <v>0.63439999999999996</v>
      </c>
      <c r="M7" s="97">
        <v>0.41589999999999999</v>
      </c>
      <c r="N7" s="96">
        <v>0.83409999999999995</v>
      </c>
      <c r="O7" s="96">
        <v>0.85709999999999997</v>
      </c>
      <c r="P7" s="96">
        <v>0.8</v>
      </c>
      <c r="Q7" s="96">
        <v>0.76219999999999999</v>
      </c>
      <c r="R7" s="97">
        <v>0.68420000000000003</v>
      </c>
      <c r="S7" s="96">
        <v>0.76800000000000002</v>
      </c>
      <c r="T7" s="97">
        <v>0.14810000000000001</v>
      </c>
      <c r="U7" s="97">
        <v>0.13039999999999999</v>
      </c>
      <c r="V7" s="97">
        <v>0.7319</v>
      </c>
      <c r="W7" s="97">
        <v>0.48749999999999999</v>
      </c>
      <c r="X7" s="96">
        <v>0.90959999999999996</v>
      </c>
      <c r="Y7" s="97">
        <v>0.2034</v>
      </c>
      <c r="Z7" s="97">
        <v>0.23899999999999999</v>
      </c>
      <c r="AA7" s="97">
        <v>0.1714</v>
      </c>
      <c r="AB7" s="96">
        <v>0.8276</v>
      </c>
      <c r="AC7" s="96">
        <v>0.81540000000000001</v>
      </c>
      <c r="AD7" s="96">
        <v>0.79869999999999997</v>
      </c>
      <c r="AE7" s="96">
        <v>0.90910000000000002</v>
      </c>
      <c r="AF7" s="96">
        <v>0.81289999999999996</v>
      </c>
      <c r="AG7" s="96">
        <v>0.91379999999999995</v>
      </c>
      <c r="AH7" s="96">
        <v>0.8</v>
      </c>
      <c r="AI7" s="96">
        <v>0.80179999999999996</v>
      </c>
      <c r="AJ7" s="96">
        <v>0.87380000000000002</v>
      </c>
      <c r="AK7" s="97">
        <v>0.67390000000000005</v>
      </c>
      <c r="AL7" s="107"/>
      <c r="AM7" s="107"/>
    </row>
    <row r="8" spans="1:39" x14ac:dyDescent="0.25">
      <c r="B8" s="376"/>
      <c r="C8" s="377"/>
      <c r="D8" s="122" t="s">
        <v>112</v>
      </c>
      <c r="E8" s="105">
        <v>4</v>
      </c>
      <c r="F8" s="106">
        <v>0.99</v>
      </c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07"/>
      <c r="AM8" s="107"/>
    </row>
    <row r="9" spans="1:39" x14ac:dyDescent="0.25">
      <c r="B9" s="376"/>
      <c r="C9" s="377"/>
      <c r="D9" s="122" t="s">
        <v>113</v>
      </c>
      <c r="E9" s="105">
        <v>5</v>
      </c>
      <c r="F9" s="111">
        <v>4</v>
      </c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07"/>
      <c r="AM9" s="107"/>
    </row>
    <row r="10" spans="1:39" x14ac:dyDescent="0.25">
      <c r="A10" t="s">
        <v>2</v>
      </c>
      <c r="B10" s="376"/>
      <c r="C10" s="377"/>
      <c r="D10" s="108" t="s">
        <v>114</v>
      </c>
      <c r="E10" s="105">
        <v>6</v>
      </c>
      <c r="F10" s="106">
        <v>0.04</v>
      </c>
      <c r="G10" s="136" t="s">
        <v>66</v>
      </c>
      <c r="H10" s="96">
        <v>1.6299999999999999E-2</v>
      </c>
      <c r="I10" s="96">
        <v>6.0000000000000001E-3</v>
      </c>
      <c r="J10" s="96">
        <v>3.3399999999999999E-2</v>
      </c>
      <c r="K10" s="96">
        <v>5.1000000000000004E-3</v>
      </c>
      <c r="L10" s="96">
        <v>6.0000000000000001E-3</v>
      </c>
      <c r="M10" s="97">
        <v>4.3700000000000003E-2</v>
      </c>
      <c r="N10" s="96">
        <v>1.0200000000000001E-2</v>
      </c>
      <c r="O10" s="96">
        <v>1.01E-2</v>
      </c>
      <c r="P10" s="96">
        <v>2.8E-3</v>
      </c>
      <c r="Q10" s="96">
        <v>8.3999999999999995E-3</v>
      </c>
      <c r="R10" s="96">
        <v>2.1299999999999999E-2</v>
      </c>
      <c r="S10" s="96">
        <v>4.4999999999999997E-3</v>
      </c>
      <c r="T10" s="96">
        <v>0</v>
      </c>
      <c r="U10" s="96">
        <v>0</v>
      </c>
      <c r="V10" s="96">
        <v>2.8999999999999998E-3</v>
      </c>
      <c r="W10" s="96">
        <v>9.2999999999999992E-3</v>
      </c>
      <c r="X10" s="96">
        <v>4.4999999999999997E-3</v>
      </c>
      <c r="Y10" s="96">
        <v>3.4599999999999999E-2</v>
      </c>
      <c r="Z10" s="96">
        <v>1.83E-2</v>
      </c>
      <c r="AA10" s="97">
        <v>0.18049999999999999</v>
      </c>
      <c r="AB10" s="96">
        <v>6.1999999999999998E-3</v>
      </c>
      <c r="AC10" s="96">
        <v>0</v>
      </c>
      <c r="AD10" s="96">
        <v>1.35E-2</v>
      </c>
      <c r="AE10" s="96">
        <v>1.6799999999999999E-2</v>
      </c>
      <c r="AF10" s="96">
        <v>0</v>
      </c>
      <c r="AG10" s="96">
        <v>2.1899999999999999E-2</v>
      </c>
      <c r="AH10" s="96">
        <v>0</v>
      </c>
      <c r="AI10" s="96">
        <v>3.0999999999999999E-3</v>
      </c>
      <c r="AJ10" s="96">
        <v>4.4999999999999997E-3</v>
      </c>
      <c r="AK10" s="96">
        <v>0</v>
      </c>
      <c r="AL10" s="107"/>
      <c r="AM10" s="107"/>
    </row>
    <row r="11" spans="1:39" x14ac:dyDescent="0.25">
      <c r="A11" t="s">
        <v>2</v>
      </c>
      <c r="B11" s="376"/>
      <c r="C11" s="377"/>
      <c r="D11" s="121" t="s">
        <v>115</v>
      </c>
      <c r="E11" s="105"/>
      <c r="F11" s="106"/>
      <c r="G11" s="136" t="s">
        <v>66</v>
      </c>
      <c r="H11" s="100">
        <v>4.13</v>
      </c>
      <c r="I11" s="100">
        <v>4.4400000000000004</v>
      </c>
      <c r="J11" s="100">
        <v>4.84</v>
      </c>
      <c r="K11" s="101">
        <v>3.12</v>
      </c>
      <c r="L11" s="100">
        <v>4.4400000000000004</v>
      </c>
      <c r="M11" s="100">
        <v>5.86</v>
      </c>
      <c r="N11" s="101">
        <v>2.86</v>
      </c>
      <c r="O11" s="101">
        <v>3.07</v>
      </c>
      <c r="P11" s="101">
        <v>3.09</v>
      </c>
      <c r="Q11" s="101">
        <v>2.87</v>
      </c>
      <c r="R11" s="100">
        <v>4.6399999999999997</v>
      </c>
      <c r="S11" s="101">
        <v>3.11</v>
      </c>
      <c r="T11" s="100">
        <v>6.48</v>
      </c>
      <c r="U11" s="100">
        <v>9.94</v>
      </c>
      <c r="V11" s="101">
        <v>3.42</v>
      </c>
      <c r="W11" s="100">
        <v>4.28</v>
      </c>
      <c r="X11" s="101">
        <v>2.0699999999999998</v>
      </c>
      <c r="Y11" s="100">
        <v>8.98</v>
      </c>
      <c r="Z11" s="100">
        <v>6.19</v>
      </c>
      <c r="AA11" s="100">
        <v>10.32</v>
      </c>
      <c r="AB11" s="101">
        <v>3.19</v>
      </c>
      <c r="AC11" s="101">
        <v>2.84</v>
      </c>
      <c r="AD11" s="101">
        <v>3.29</v>
      </c>
      <c r="AE11" s="101">
        <v>1.84</v>
      </c>
      <c r="AF11" s="101">
        <v>3.33</v>
      </c>
      <c r="AG11" s="101">
        <v>2.77</v>
      </c>
      <c r="AH11" s="101">
        <v>3.34</v>
      </c>
      <c r="AI11" s="101">
        <v>3.29</v>
      </c>
      <c r="AJ11" s="101">
        <v>2.4500000000000002</v>
      </c>
      <c r="AK11" s="101">
        <v>3.92</v>
      </c>
      <c r="AL11" s="107"/>
      <c r="AM11" s="107"/>
    </row>
    <row r="12" spans="1:39" x14ac:dyDescent="0.25">
      <c r="A12" t="s">
        <v>2</v>
      </c>
      <c r="B12" s="376"/>
      <c r="C12" s="377"/>
      <c r="D12" s="108" t="s">
        <v>116</v>
      </c>
      <c r="E12" s="105">
        <v>7</v>
      </c>
      <c r="F12" s="106">
        <v>0.7</v>
      </c>
      <c r="G12" s="136" t="s">
        <v>66</v>
      </c>
      <c r="H12" s="96">
        <v>0.75</v>
      </c>
      <c r="I12" s="97">
        <v>0.66669999999999996</v>
      </c>
      <c r="J12" s="96">
        <v>0.73329999999999995</v>
      </c>
      <c r="K12" s="99"/>
      <c r="L12" s="97">
        <v>0.66669999999999996</v>
      </c>
      <c r="M12" s="96">
        <v>0.875</v>
      </c>
      <c r="N12" s="97">
        <v>0.6</v>
      </c>
      <c r="O12" s="99"/>
      <c r="P12" s="99"/>
      <c r="Q12" s="97">
        <v>0</v>
      </c>
      <c r="R12" s="96">
        <v>1</v>
      </c>
      <c r="S12" s="96">
        <v>1</v>
      </c>
      <c r="T12" s="99"/>
      <c r="U12" s="99"/>
      <c r="V12" s="99"/>
      <c r="W12" s="96">
        <v>1</v>
      </c>
      <c r="X12" s="99"/>
      <c r="Y12" s="96">
        <v>1</v>
      </c>
      <c r="Z12" s="97">
        <v>0.5</v>
      </c>
      <c r="AA12" s="96">
        <v>1</v>
      </c>
      <c r="AB12" s="97">
        <v>0.66669999999999996</v>
      </c>
      <c r="AC12" s="99"/>
      <c r="AD12" s="97">
        <v>0</v>
      </c>
      <c r="AE12" s="96">
        <v>1</v>
      </c>
      <c r="AF12" s="99"/>
      <c r="AG12" s="99"/>
      <c r="AH12" s="99"/>
      <c r="AI12" s="99"/>
      <c r="AJ12" s="99"/>
      <c r="AK12" s="99"/>
      <c r="AL12" s="107"/>
      <c r="AM12" s="107"/>
    </row>
    <row r="13" spans="1:39" x14ac:dyDescent="0.25">
      <c r="A13" t="s">
        <v>2</v>
      </c>
      <c r="B13" s="376" t="s">
        <v>70</v>
      </c>
      <c r="C13" s="377" t="s">
        <v>71</v>
      </c>
      <c r="D13" s="108" t="s">
        <v>117</v>
      </c>
      <c r="E13" s="105">
        <v>8</v>
      </c>
      <c r="F13" s="110">
        <v>0.22900000000000001</v>
      </c>
      <c r="G13" s="97">
        <v>0.28999999999999998</v>
      </c>
      <c r="H13" s="97">
        <v>0.2994</v>
      </c>
      <c r="I13" s="97">
        <v>0.28899999999999998</v>
      </c>
      <c r="J13" s="97">
        <v>0.35199999999999998</v>
      </c>
      <c r="K13" s="97">
        <v>0.2424</v>
      </c>
      <c r="L13" s="97">
        <v>0.28899999999999998</v>
      </c>
      <c r="M13" s="97">
        <v>0.36620000000000003</v>
      </c>
      <c r="N13" s="97">
        <v>0.32619999999999999</v>
      </c>
      <c r="O13" s="96">
        <v>0.21010000000000001</v>
      </c>
      <c r="P13" s="97">
        <v>0.27110000000000001</v>
      </c>
      <c r="Q13" s="96">
        <v>0.20630000000000001</v>
      </c>
      <c r="R13" s="97">
        <v>0.26329999999999998</v>
      </c>
      <c r="S13" s="97">
        <v>0.35949999999999999</v>
      </c>
      <c r="T13" s="97">
        <v>0.37509999999999999</v>
      </c>
      <c r="U13" s="97">
        <v>0.3377</v>
      </c>
      <c r="V13" s="97">
        <v>0.29849999999999999</v>
      </c>
      <c r="W13" s="97">
        <v>0.46500000000000002</v>
      </c>
      <c r="X13" s="97">
        <v>0.29470000000000002</v>
      </c>
      <c r="Y13" s="97">
        <v>0.40560000000000002</v>
      </c>
      <c r="Z13" s="97">
        <v>0.32229999999999998</v>
      </c>
      <c r="AA13" s="97">
        <v>0.44450000000000001</v>
      </c>
      <c r="AB13" s="97">
        <v>0.29749999999999999</v>
      </c>
      <c r="AC13" s="97">
        <v>0.28860000000000002</v>
      </c>
      <c r="AD13" s="97">
        <v>0.31269999999999998</v>
      </c>
      <c r="AE13" s="97">
        <v>0.38900000000000001</v>
      </c>
      <c r="AF13" s="96">
        <v>0.1681</v>
      </c>
      <c r="AG13" s="97">
        <v>0.2535</v>
      </c>
      <c r="AH13" s="96">
        <v>0.1762</v>
      </c>
      <c r="AI13" s="97">
        <v>0.32279999999999998</v>
      </c>
      <c r="AJ13" s="97">
        <v>0.24809999999999999</v>
      </c>
      <c r="AK13" s="97">
        <v>0.2457</v>
      </c>
      <c r="AL13" s="107"/>
      <c r="AM13" s="107"/>
    </row>
    <row r="14" spans="1:39" x14ac:dyDescent="0.25">
      <c r="A14" t="s">
        <v>2</v>
      </c>
      <c r="B14" s="376"/>
      <c r="C14" s="377"/>
      <c r="D14" s="108" t="s">
        <v>118</v>
      </c>
      <c r="E14" s="105">
        <v>9</v>
      </c>
      <c r="F14" s="109">
        <v>1.7600000000000001E-2</v>
      </c>
      <c r="G14" s="97">
        <v>2.1000000000000001E-2</v>
      </c>
      <c r="H14" s="96">
        <v>1.2500000000000001E-2</v>
      </c>
      <c r="I14" s="96">
        <v>1.5299999999999999E-2</v>
      </c>
      <c r="J14" s="96">
        <v>8.9999999999999993E-3</v>
      </c>
      <c r="K14" s="96">
        <v>1.6199999999999999E-2</v>
      </c>
      <c r="L14" s="96">
        <v>1.5299999999999999E-2</v>
      </c>
      <c r="M14" s="96">
        <v>1.12E-2</v>
      </c>
      <c r="N14" s="96">
        <v>1.5E-3</v>
      </c>
      <c r="O14" s="97">
        <v>5.2299999999999999E-2</v>
      </c>
      <c r="P14" s="96">
        <v>4.8999999999999998E-3</v>
      </c>
      <c r="Q14" s="96">
        <v>8.9999999999999998E-4</v>
      </c>
      <c r="R14" s="96">
        <v>2E-3</v>
      </c>
      <c r="S14" s="97">
        <v>1.9099999999999999E-2</v>
      </c>
      <c r="T14" s="97">
        <v>2.9600000000000001E-2</v>
      </c>
      <c r="U14" s="99"/>
      <c r="V14" s="97">
        <v>2.9600000000000001E-2</v>
      </c>
      <c r="W14" s="97">
        <v>2.1600000000000001E-2</v>
      </c>
      <c r="X14" s="96">
        <v>8.0000000000000004E-4</v>
      </c>
      <c r="Y14" s="97">
        <v>4.07E-2</v>
      </c>
      <c r="Z14" s="96">
        <v>4.4000000000000003E-3</v>
      </c>
      <c r="AA14" s="96">
        <v>4.7999999999999996E-3</v>
      </c>
      <c r="AB14" s="96">
        <v>1.6000000000000001E-3</v>
      </c>
      <c r="AC14" s="99"/>
      <c r="AD14" s="96">
        <v>1.5E-3</v>
      </c>
      <c r="AE14" s="99"/>
      <c r="AF14" s="97">
        <v>5.2299999999999999E-2</v>
      </c>
      <c r="AG14" s="99"/>
      <c r="AH14" s="99"/>
      <c r="AI14" s="96">
        <v>7.1999999999999998E-3</v>
      </c>
      <c r="AJ14" s="99"/>
      <c r="AK14" s="96">
        <v>2.8999999999999998E-3</v>
      </c>
      <c r="AL14" s="107"/>
      <c r="AM14" s="107"/>
    </row>
    <row r="15" spans="1:39" x14ac:dyDescent="0.25">
      <c r="A15" t="s">
        <v>2</v>
      </c>
      <c r="B15" s="376"/>
      <c r="C15" s="377"/>
      <c r="D15" s="108" t="s">
        <v>119</v>
      </c>
      <c r="E15" s="105">
        <v>10</v>
      </c>
      <c r="F15" s="109">
        <v>4.1799999999999997E-2</v>
      </c>
      <c r="G15" s="97">
        <v>6.0999999999999999E-2</v>
      </c>
      <c r="H15" s="97">
        <v>6.4299999999999996E-2</v>
      </c>
      <c r="I15" s="97">
        <v>8.8400000000000006E-2</v>
      </c>
      <c r="J15" s="97">
        <v>6.8099999999999994E-2</v>
      </c>
      <c r="K15" s="97">
        <v>4.4900000000000002E-2</v>
      </c>
      <c r="L15" s="97">
        <v>8.8400000000000006E-2</v>
      </c>
      <c r="M15" s="97">
        <v>6.0999999999999999E-2</v>
      </c>
      <c r="N15" s="97">
        <v>8.1000000000000003E-2</v>
      </c>
      <c r="O15" s="96">
        <v>3.8699999999999998E-2</v>
      </c>
      <c r="P15" s="97">
        <v>0.05</v>
      </c>
      <c r="Q15" s="97">
        <v>7.7899999999999997E-2</v>
      </c>
      <c r="R15" s="97">
        <v>0.1037</v>
      </c>
      <c r="S15" s="96">
        <v>3.6799999999999999E-2</v>
      </c>
      <c r="T15" s="97">
        <v>7.9000000000000001E-2</v>
      </c>
      <c r="U15" s="97">
        <v>5.7200000000000001E-2</v>
      </c>
      <c r="V15" s="97">
        <v>0.13159999999999999</v>
      </c>
      <c r="W15" s="97">
        <v>7.8200000000000006E-2</v>
      </c>
      <c r="X15" s="97">
        <v>6.0699999999999997E-2</v>
      </c>
      <c r="Y15" s="97">
        <v>0.1043</v>
      </c>
      <c r="Z15" s="96">
        <v>3.7600000000000001E-2</v>
      </c>
      <c r="AA15" s="97">
        <v>4.9599999999999998E-2</v>
      </c>
      <c r="AB15" s="97">
        <v>7.3599999999999999E-2</v>
      </c>
      <c r="AC15" s="96">
        <v>3.5000000000000003E-2</v>
      </c>
      <c r="AD15" s="97">
        <v>0.13439999999999999</v>
      </c>
      <c r="AE15" s="97">
        <v>6.7599999999999993E-2</v>
      </c>
      <c r="AF15" s="97">
        <v>5.16E-2</v>
      </c>
      <c r="AG15" s="96">
        <v>0.02</v>
      </c>
      <c r="AH15" s="97">
        <v>4.7399999999999998E-2</v>
      </c>
      <c r="AI15" s="96">
        <v>3.8600000000000002E-2</v>
      </c>
      <c r="AJ15" s="97">
        <v>9.5699999999999993E-2</v>
      </c>
      <c r="AK15" s="96">
        <v>2.6700000000000002E-2</v>
      </c>
      <c r="AL15" s="107"/>
      <c r="AM15" s="107"/>
    </row>
    <row r="16" spans="1:39" x14ac:dyDescent="0.25">
      <c r="B16" s="376"/>
      <c r="C16" s="377"/>
      <c r="D16" s="123" t="s">
        <v>120</v>
      </c>
      <c r="E16" s="105">
        <v>11</v>
      </c>
      <c r="F16" s="106">
        <v>0.9</v>
      </c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07"/>
      <c r="AM16" s="107"/>
    </row>
    <row r="17" spans="1:39" x14ac:dyDescent="0.25">
      <c r="B17" s="376"/>
      <c r="C17" s="377"/>
      <c r="D17" s="123" t="s">
        <v>121</v>
      </c>
      <c r="E17" s="105">
        <v>12</v>
      </c>
      <c r="F17" s="106">
        <v>0.9</v>
      </c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07"/>
      <c r="AM17" s="107"/>
    </row>
    <row r="18" spans="1:39" x14ac:dyDescent="0.25">
      <c r="B18" s="376"/>
      <c r="C18" s="377"/>
      <c r="D18" s="123" t="s">
        <v>122</v>
      </c>
      <c r="E18" s="105">
        <v>13</v>
      </c>
      <c r="F18" s="106">
        <v>0.9</v>
      </c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07"/>
      <c r="AM18" s="107"/>
    </row>
    <row r="19" spans="1:39" x14ac:dyDescent="0.25">
      <c r="A19" t="s">
        <v>1</v>
      </c>
      <c r="B19" s="376"/>
      <c r="C19" s="377" t="s">
        <v>77</v>
      </c>
      <c r="D19" s="108" t="s">
        <v>154</v>
      </c>
      <c r="E19" s="105">
        <v>14</v>
      </c>
      <c r="F19" s="106">
        <v>0.9</v>
      </c>
      <c r="G19" s="132">
        <v>0.95</v>
      </c>
      <c r="H19" s="132">
        <v>0.9</v>
      </c>
      <c r="I19" s="132">
        <v>0.86</v>
      </c>
      <c r="J19" s="132">
        <v>0.91</v>
      </c>
      <c r="K19" s="132">
        <v>0.94</v>
      </c>
      <c r="L19" s="132">
        <v>0.86</v>
      </c>
      <c r="M19" s="132">
        <v>0.91</v>
      </c>
      <c r="N19" s="132">
        <v>0.94</v>
      </c>
      <c r="O19" s="132">
        <v>0.97</v>
      </c>
      <c r="P19" s="132">
        <v>0.92</v>
      </c>
      <c r="Q19" s="132">
        <v>0.75</v>
      </c>
      <c r="R19" s="132">
        <v>0.55000000000000004</v>
      </c>
      <c r="S19" s="132">
        <v>0.93</v>
      </c>
      <c r="T19" s="132">
        <v>0.56999999999999995</v>
      </c>
      <c r="U19" s="132">
        <v>0.96</v>
      </c>
      <c r="V19" s="132">
        <v>0.96</v>
      </c>
      <c r="W19" s="132">
        <v>0.67</v>
      </c>
      <c r="X19" s="132">
        <v>0.95</v>
      </c>
      <c r="Y19" s="132">
        <v>1</v>
      </c>
      <c r="Z19" s="132">
        <v>0.87</v>
      </c>
      <c r="AA19" s="132">
        <v>1</v>
      </c>
      <c r="AB19" s="132">
        <v>0.85</v>
      </c>
      <c r="AC19" s="132">
        <v>0.94</v>
      </c>
      <c r="AD19" s="132">
        <v>1</v>
      </c>
      <c r="AE19" s="132">
        <v>0.96</v>
      </c>
      <c r="AF19" s="132">
        <v>0.94</v>
      </c>
      <c r="AG19" s="132">
        <v>0.97</v>
      </c>
      <c r="AH19" s="132">
        <v>0.95</v>
      </c>
      <c r="AI19" s="132">
        <v>0.95</v>
      </c>
      <c r="AJ19" s="132">
        <v>0.89</v>
      </c>
      <c r="AK19" s="132">
        <v>0.9</v>
      </c>
      <c r="AL19" s="107"/>
      <c r="AM19" s="107"/>
    </row>
    <row r="20" spans="1:39" x14ac:dyDescent="0.25">
      <c r="A20" t="s">
        <v>1</v>
      </c>
      <c r="B20" s="376"/>
      <c r="C20" s="377"/>
      <c r="D20" s="108" t="s">
        <v>124</v>
      </c>
      <c r="E20" s="105">
        <v>15</v>
      </c>
      <c r="F20" s="106">
        <v>0.8</v>
      </c>
      <c r="G20" s="133">
        <v>0.94</v>
      </c>
      <c r="H20" s="133">
        <v>0.95</v>
      </c>
      <c r="I20" s="133">
        <v>0.95</v>
      </c>
      <c r="J20" s="133">
        <v>0.94</v>
      </c>
      <c r="K20" s="134">
        <v>1</v>
      </c>
      <c r="L20" s="133">
        <v>0.95</v>
      </c>
      <c r="M20" s="133">
        <v>0.92</v>
      </c>
      <c r="N20" s="133">
        <v>1</v>
      </c>
      <c r="O20" s="134">
        <v>0.99</v>
      </c>
      <c r="P20" s="133">
        <v>1</v>
      </c>
      <c r="Q20" s="133">
        <v>0.95</v>
      </c>
      <c r="R20" s="133">
        <v>1</v>
      </c>
      <c r="S20" s="133">
        <v>0.98</v>
      </c>
      <c r="T20" s="133">
        <v>0.85</v>
      </c>
      <c r="U20" s="133">
        <v>0.66</v>
      </c>
      <c r="V20" s="133">
        <v>0.99</v>
      </c>
      <c r="W20" s="133">
        <v>0.94</v>
      </c>
      <c r="X20" s="133">
        <v>1</v>
      </c>
      <c r="Y20" s="133">
        <v>0.72</v>
      </c>
      <c r="Z20" s="133">
        <v>0.97</v>
      </c>
      <c r="AA20" s="133">
        <v>0.99</v>
      </c>
      <c r="AB20" s="133">
        <v>1</v>
      </c>
      <c r="AC20" s="133">
        <v>1</v>
      </c>
      <c r="AD20" s="133">
        <v>1</v>
      </c>
      <c r="AE20" s="133">
        <v>1</v>
      </c>
      <c r="AF20" s="133">
        <v>0.94</v>
      </c>
      <c r="AG20" s="133">
        <v>1</v>
      </c>
      <c r="AH20" s="133">
        <v>1</v>
      </c>
      <c r="AI20" s="133">
        <v>1</v>
      </c>
      <c r="AJ20" s="133">
        <v>1</v>
      </c>
      <c r="AK20" s="133">
        <v>1</v>
      </c>
      <c r="AL20" s="107"/>
      <c r="AM20" s="107"/>
    </row>
    <row r="21" spans="1:39" x14ac:dyDescent="0.25">
      <c r="A21" t="s">
        <v>2</v>
      </c>
      <c r="B21" s="376"/>
      <c r="C21" s="377"/>
      <c r="D21" s="108" t="s">
        <v>125</v>
      </c>
      <c r="E21" s="105">
        <v>16</v>
      </c>
      <c r="F21" s="106">
        <v>0.65</v>
      </c>
      <c r="G21" s="98">
        <v>0.63800000000000001</v>
      </c>
      <c r="H21" s="96">
        <v>0.69040000000000001</v>
      </c>
      <c r="I21" s="97">
        <v>0.63580000000000003</v>
      </c>
      <c r="J21" s="96">
        <v>0.72060000000000002</v>
      </c>
      <c r="K21" s="96">
        <v>0.70540000000000003</v>
      </c>
      <c r="L21" s="97">
        <v>0.63580000000000003</v>
      </c>
      <c r="M21" s="96">
        <v>0.67869999999999997</v>
      </c>
      <c r="N21" s="96">
        <v>0.80879999999999996</v>
      </c>
      <c r="O21" s="96">
        <v>0.72850000000000004</v>
      </c>
      <c r="P21" s="96">
        <v>0.68659999999999999</v>
      </c>
      <c r="Q21" s="97">
        <v>0.60909999999999997</v>
      </c>
      <c r="R21" s="96">
        <v>0.76619999999999999</v>
      </c>
      <c r="S21" s="97">
        <v>0.49609999999999999</v>
      </c>
      <c r="T21" s="96">
        <v>0.72409999999999997</v>
      </c>
      <c r="U21" s="96">
        <v>0.89800000000000002</v>
      </c>
      <c r="V21" s="97">
        <v>0.5786</v>
      </c>
      <c r="W21" s="96">
        <v>0.8458</v>
      </c>
      <c r="X21" s="96">
        <v>0.74839999999999995</v>
      </c>
      <c r="Y21" s="96">
        <v>0.69230000000000003</v>
      </c>
      <c r="Z21" s="97">
        <v>0.52429999999999999</v>
      </c>
      <c r="AA21" s="96">
        <v>0.70840000000000003</v>
      </c>
      <c r="AB21" s="96">
        <v>0.7802</v>
      </c>
      <c r="AC21" s="96">
        <v>0.84770000000000001</v>
      </c>
      <c r="AD21" s="96">
        <v>0.86460000000000004</v>
      </c>
      <c r="AE21" s="96">
        <v>0.73029999999999995</v>
      </c>
      <c r="AF21" s="96">
        <v>0.82479999999999998</v>
      </c>
      <c r="AG21" s="97">
        <v>0.57820000000000005</v>
      </c>
      <c r="AH21" s="96">
        <v>0.90429999999999999</v>
      </c>
      <c r="AI21" s="97">
        <v>0.64049999999999996</v>
      </c>
      <c r="AJ21" s="96">
        <v>0.67049999999999998</v>
      </c>
      <c r="AK21" s="96">
        <v>0.75209999999999999</v>
      </c>
      <c r="AL21" s="107"/>
      <c r="AM21" s="107"/>
    </row>
    <row r="22" spans="1:39" x14ac:dyDescent="0.25">
      <c r="A22" t="s">
        <v>1</v>
      </c>
      <c r="B22" s="376"/>
      <c r="C22" s="377"/>
      <c r="D22" s="108" t="s">
        <v>126</v>
      </c>
      <c r="E22" s="105">
        <v>17</v>
      </c>
      <c r="F22" s="106">
        <v>0.7</v>
      </c>
      <c r="G22" s="77">
        <v>0.69</v>
      </c>
      <c r="H22" s="77">
        <v>0.68</v>
      </c>
      <c r="I22" s="77">
        <v>0.56999999999999995</v>
      </c>
      <c r="J22" s="77">
        <v>0.71</v>
      </c>
      <c r="K22" s="77">
        <v>0.75</v>
      </c>
      <c r="L22" s="77">
        <v>0.56999999999999995</v>
      </c>
      <c r="M22" s="77">
        <v>0.67</v>
      </c>
      <c r="N22" s="77">
        <v>0.79</v>
      </c>
      <c r="O22" s="77">
        <v>0.76</v>
      </c>
      <c r="P22" s="77">
        <v>0.74</v>
      </c>
      <c r="Q22" s="77">
        <v>0.51</v>
      </c>
      <c r="R22" s="77">
        <v>0.71</v>
      </c>
      <c r="S22" s="77">
        <v>0.43</v>
      </c>
      <c r="T22" s="77">
        <v>0.7</v>
      </c>
      <c r="U22" s="77">
        <v>0.83</v>
      </c>
      <c r="V22" s="77">
        <v>0.49</v>
      </c>
      <c r="W22" s="77">
        <v>0.85</v>
      </c>
      <c r="X22" s="77">
        <v>0.77</v>
      </c>
      <c r="Y22" s="77">
        <v>0.59</v>
      </c>
      <c r="Z22" s="77">
        <v>0.47</v>
      </c>
      <c r="AA22" s="77">
        <v>0.76</v>
      </c>
      <c r="AB22" s="77">
        <v>0.76</v>
      </c>
      <c r="AC22" s="77">
        <v>0.83</v>
      </c>
      <c r="AD22" s="77">
        <v>0.88</v>
      </c>
      <c r="AE22" s="77">
        <v>0.74</v>
      </c>
      <c r="AF22" s="77">
        <v>0.88</v>
      </c>
      <c r="AG22" s="77">
        <v>0.6</v>
      </c>
      <c r="AH22" s="77">
        <v>0.95</v>
      </c>
      <c r="AI22" s="77">
        <v>0.71</v>
      </c>
      <c r="AJ22" s="77">
        <v>0.72</v>
      </c>
      <c r="AK22" s="77">
        <v>0.81</v>
      </c>
      <c r="AL22" s="107"/>
      <c r="AM22" s="107"/>
    </row>
    <row r="23" spans="1:39" x14ac:dyDescent="0.25">
      <c r="A23" t="s">
        <v>2</v>
      </c>
      <c r="B23" s="376"/>
      <c r="C23" s="377"/>
      <c r="D23" s="108" t="s">
        <v>127</v>
      </c>
      <c r="E23" s="105">
        <v>18</v>
      </c>
      <c r="F23" s="106">
        <v>0.65</v>
      </c>
      <c r="G23" s="96">
        <v>0.745</v>
      </c>
      <c r="H23" s="96">
        <v>0.76070000000000004</v>
      </c>
      <c r="I23" s="96">
        <v>0.74770000000000003</v>
      </c>
      <c r="J23" s="96">
        <v>0.74950000000000006</v>
      </c>
      <c r="K23" s="96">
        <v>0.79869999999999997</v>
      </c>
      <c r="L23" s="96">
        <v>0.74770000000000003</v>
      </c>
      <c r="M23" s="96">
        <v>0.72950000000000004</v>
      </c>
      <c r="N23" s="96">
        <v>0.78159999999999996</v>
      </c>
      <c r="O23" s="96">
        <v>0.83079999999999998</v>
      </c>
      <c r="P23" s="96">
        <v>0.77459999999999996</v>
      </c>
      <c r="Q23" s="97">
        <v>0.58430000000000004</v>
      </c>
      <c r="R23" s="96">
        <v>0.72</v>
      </c>
      <c r="S23" s="96">
        <v>0.82930000000000004</v>
      </c>
      <c r="T23" s="96">
        <v>1</v>
      </c>
      <c r="U23" s="96">
        <v>0.9</v>
      </c>
      <c r="V23" s="96">
        <v>0.76019999999999999</v>
      </c>
      <c r="W23" s="96">
        <v>0.72970000000000002</v>
      </c>
      <c r="X23" s="96">
        <v>0.82669999999999999</v>
      </c>
      <c r="Y23" s="96">
        <v>0.88759999999999994</v>
      </c>
      <c r="Z23" s="97">
        <v>0.43859999999999999</v>
      </c>
      <c r="AA23" s="97">
        <v>0.58819999999999995</v>
      </c>
      <c r="AB23" s="96">
        <v>0.74470000000000003</v>
      </c>
      <c r="AC23" s="96">
        <v>0.76470000000000005</v>
      </c>
      <c r="AD23" s="96">
        <v>0.89249999999999996</v>
      </c>
      <c r="AE23" s="97">
        <v>0.61219999999999997</v>
      </c>
      <c r="AF23" s="96">
        <v>0.80300000000000005</v>
      </c>
      <c r="AG23" s="97">
        <v>0.64</v>
      </c>
      <c r="AH23" s="96">
        <v>1</v>
      </c>
      <c r="AI23" s="96">
        <v>0.84089999999999998</v>
      </c>
      <c r="AJ23" s="96">
        <v>0.76529999999999998</v>
      </c>
      <c r="AK23" s="96">
        <v>0.7097</v>
      </c>
      <c r="AL23" s="107"/>
      <c r="AM23" s="107"/>
    </row>
    <row r="24" spans="1:39" x14ac:dyDescent="0.25">
      <c r="B24" s="376"/>
      <c r="C24" s="377"/>
      <c r="D24" s="122" t="s">
        <v>128</v>
      </c>
      <c r="E24" s="105">
        <v>19</v>
      </c>
      <c r="F24" s="106">
        <v>0.8</v>
      </c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07"/>
      <c r="AM24" s="107"/>
    </row>
    <row r="25" spans="1:39" x14ac:dyDescent="0.25">
      <c r="B25" s="376" t="s">
        <v>129</v>
      </c>
      <c r="C25" s="377" t="s">
        <v>130</v>
      </c>
      <c r="D25" s="122" t="s">
        <v>131</v>
      </c>
      <c r="E25" s="105">
        <v>20</v>
      </c>
      <c r="F25" s="106">
        <v>0.92</v>
      </c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07"/>
      <c r="AM25" s="107"/>
    </row>
    <row r="26" spans="1:39" x14ac:dyDescent="0.25">
      <c r="A26" t="s">
        <v>2</v>
      </c>
      <c r="B26" s="376"/>
      <c r="C26" s="377"/>
      <c r="D26" s="108" t="s">
        <v>132</v>
      </c>
      <c r="E26" s="105">
        <v>21</v>
      </c>
      <c r="F26" s="106">
        <v>0.9</v>
      </c>
      <c r="G26" s="97">
        <v>0.81200000000000006</v>
      </c>
      <c r="H26" s="97">
        <v>0.79920000000000002</v>
      </c>
      <c r="I26" s="97">
        <v>0.80879999999999996</v>
      </c>
      <c r="J26" s="97">
        <v>0.77239999999999998</v>
      </c>
      <c r="K26" s="97">
        <v>0.84009999999999996</v>
      </c>
      <c r="L26" s="97">
        <v>0.80879999999999996</v>
      </c>
      <c r="M26" s="97">
        <v>0.77280000000000004</v>
      </c>
      <c r="N26" s="97">
        <v>0.77139999999999997</v>
      </c>
      <c r="O26" s="97">
        <v>0.82469999999999999</v>
      </c>
      <c r="P26" s="97">
        <v>0.85089999999999999</v>
      </c>
      <c r="Q26" s="97">
        <v>0.80359999999999998</v>
      </c>
      <c r="R26" s="97">
        <v>0.79710000000000003</v>
      </c>
      <c r="S26" s="97">
        <v>0.77310000000000001</v>
      </c>
      <c r="T26" s="97">
        <v>0.76319999999999999</v>
      </c>
      <c r="U26" s="97">
        <v>0.83640000000000003</v>
      </c>
      <c r="V26" s="97">
        <v>0.83830000000000005</v>
      </c>
      <c r="W26" s="97">
        <v>0.77639999999999998</v>
      </c>
      <c r="X26" s="97">
        <v>0.76259999999999994</v>
      </c>
      <c r="Y26" s="97">
        <v>0.74039999999999995</v>
      </c>
      <c r="Z26" s="97">
        <v>0.81859999999999999</v>
      </c>
      <c r="AA26" s="97">
        <v>0.73909999999999998</v>
      </c>
      <c r="AB26" s="97">
        <v>0.82120000000000004</v>
      </c>
      <c r="AC26" s="97">
        <v>0.69769999999999999</v>
      </c>
      <c r="AD26" s="97">
        <v>0.86599999999999999</v>
      </c>
      <c r="AE26" s="97">
        <v>0.70820000000000005</v>
      </c>
      <c r="AF26" s="97">
        <v>0.87</v>
      </c>
      <c r="AG26" s="97">
        <v>0.81210000000000004</v>
      </c>
      <c r="AH26" s="97">
        <v>0.8175</v>
      </c>
      <c r="AI26" s="97">
        <v>0.79769999999999996</v>
      </c>
      <c r="AJ26" s="96">
        <v>0.93510000000000004</v>
      </c>
      <c r="AK26" s="97">
        <v>0.8286</v>
      </c>
      <c r="AL26" s="107"/>
      <c r="AM26" s="107"/>
    </row>
    <row r="27" spans="1:39" x14ac:dyDescent="0.25">
      <c r="A27" t="s">
        <v>2</v>
      </c>
      <c r="B27" s="376"/>
      <c r="C27" s="377" t="s">
        <v>133</v>
      </c>
      <c r="D27" s="108" t="s">
        <v>134</v>
      </c>
      <c r="E27" s="105">
        <v>22</v>
      </c>
      <c r="F27" s="111">
        <v>3</v>
      </c>
      <c r="G27" s="101">
        <v>0.2</v>
      </c>
      <c r="H27" s="101">
        <v>0.55000000000000004</v>
      </c>
      <c r="I27" s="101">
        <v>0.87</v>
      </c>
      <c r="J27" s="101">
        <v>0.4</v>
      </c>
      <c r="K27" s="101">
        <v>0.48</v>
      </c>
      <c r="L27" s="101">
        <v>0.87</v>
      </c>
      <c r="M27" s="101">
        <v>0.46</v>
      </c>
      <c r="N27" s="101">
        <v>0.28999999999999998</v>
      </c>
      <c r="O27" s="101">
        <v>0.46</v>
      </c>
      <c r="P27" s="101">
        <v>0.5</v>
      </c>
      <c r="Q27" s="101">
        <v>0.46</v>
      </c>
      <c r="R27" s="101">
        <v>0.27</v>
      </c>
      <c r="S27" s="101">
        <v>1.1000000000000001</v>
      </c>
      <c r="T27" s="101">
        <v>0.85</v>
      </c>
      <c r="U27" s="101">
        <v>0.15</v>
      </c>
      <c r="V27" s="101">
        <v>1.66</v>
      </c>
      <c r="W27" s="101">
        <v>0.21</v>
      </c>
      <c r="X27" s="101">
        <v>0.44</v>
      </c>
      <c r="Y27" s="101">
        <v>0.16</v>
      </c>
      <c r="Z27" s="101">
        <v>0.78</v>
      </c>
      <c r="AA27" s="101">
        <v>0.43</v>
      </c>
      <c r="AB27" s="101">
        <v>0.15</v>
      </c>
      <c r="AC27" s="101">
        <v>0.32</v>
      </c>
      <c r="AD27" s="101">
        <v>0.2</v>
      </c>
      <c r="AE27" s="101">
        <v>0.48</v>
      </c>
      <c r="AF27" s="101">
        <v>0.27</v>
      </c>
      <c r="AG27" s="101">
        <v>0.77</v>
      </c>
      <c r="AH27" s="101">
        <v>0.12</v>
      </c>
      <c r="AI27" s="101">
        <v>0.53</v>
      </c>
      <c r="AJ27" s="101">
        <v>0.62</v>
      </c>
      <c r="AK27" s="101">
        <v>0.37</v>
      </c>
      <c r="AL27" s="107"/>
      <c r="AM27" s="107"/>
    </row>
    <row r="28" spans="1:39" x14ac:dyDescent="0.25">
      <c r="A28" t="s">
        <v>2</v>
      </c>
      <c r="B28" s="376"/>
      <c r="C28" s="377"/>
      <c r="D28" s="108" t="s">
        <v>135</v>
      </c>
      <c r="E28" s="105">
        <v>23</v>
      </c>
      <c r="F28" s="111">
        <v>7</v>
      </c>
      <c r="G28" s="101">
        <v>3.6</v>
      </c>
      <c r="H28" s="101">
        <v>0.03</v>
      </c>
      <c r="I28" s="101">
        <v>0.04</v>
      </c>
      <c r="J28" s="101">
        <v>0.02</v>
      </c>
      <c r="K28" s="101">
        <v>0.03</v>
      </c>
      <c r="L28" s="101">
        <v>0.04</v>
      </c>
      <c r="M28" s="101">
        <v>0.03</v>
      </c>
      <c r="N28" s="101">
        <v>0.02</v>
      </c>
      <c r="O28" s="101">
        <v>0.04</v>
      </c>
      <c r="P28" s="101">
        <v>0.03</v>
      </c>
      <c r="Q28" s="101">
        <v>0</v>
      </c>
      <c r="R28" s="101">
        <v>0.04</v>
      </c>
      <c r="S28" s="101">
        <v>0.08</v>
      </c>
      <c r="T28" s="101">
        <v>0.19</v>
      </c>
      <c r="U28" s="101">
        <v>0.04</v>
      </c>
      <c r="V28" s="101">
        <v>0.02</v>
      </c>
      <c r="W28" s="101">
        <v>0.05</v>
      </c>
      <c r="X28" s="101">
        <v>0.02</v>
      </c>
      <c r="Y28" s="101">
        <v>0.03</v>
      </c>
      <c r="Z28" s="101">
        <v>0.01</v>
      </c>
      <c r="AA28" s="101">
        <v>0.03</v>
      </c>
      <c r="AB28" s="101">
        <v>0</v>
      </c>
      <c r="AC28" s="101">
        <v>0</v>
      </c>
      <c r="AD28" s="101">
        <v>0.03</v>
      </c>
      <c r="AE28" s="101">
        <v>0.03</v>
      </c>
      <c r="AF28" s="101">
        <v>0.06</v>
      </c>
      <c r="AG28" s="101">
        <v>0.03</v>
      </c>
      <c r="AH28" s="101">
        <v>0.02</v>
      </c>
      <c r="AI28" s="101">
        <v>0</v>
      </c>
      <c r="AJ28" s="101">
        <v>0.06</v>
      </c>
      <c r="AK28" s="101">
        <v>0.02</v>
      </c>
      <c r="AL28" s="107"/>
      <c r="AM28" s="107"/>
    </row>
    <row r="29" spans="1:39" ht="12" customHeight="1" x14ac:dyDescent="0.25">
      <c r="A29" t="s">
        <v>2</v>
      </c>
      <c r="B29" s="376"/>
      <c r="C29" s="377"/>
      <c r="D29" s="108" t="s">
        <v>136</v>
      </c>
      <c r="E29" s="105">
        <v>24</v>
      </c>
      <c r="F29" s="106">
        <v>0.8</v>
      </c>
      <c r="G29" s="97">
        <v>0.39400000000000002</v>
      </c>
      <c r="H29" s="97">
        <v>0.4168</v>
      </c>
      <c r="I29" s="97">
        <v>0.39600000000000002</v>
      </c>
      <c r="J29" s="97">
        <v>0.43590000000000001</v>
      </c>
      <c r="K29" s="97">
        <v>0.42480000000000001</v>
      </c>
      <c r="L29" s="97">
        <v>0.39600000000000002</v>
      </c>
      <c r="M29" s="97">
        <v>0.4138</v>
      </c>
      <c r="N29" s="97">
        <v>0.5</v>
      </c>
      <c r="O29" s="97">
        <v>0.42030000000000001</v>
      </c>
      <c r="P29" s="97">
        <v>0.42859999999999998</v>
      </c>
      <c r="Q29" s="97">
        <v>0.44440000000000002</v>
      </c>
      <c r="R29" s="97">
        <v>0.625</v>
      </c>
      <c r="S29" s="97">
        <v>0.44440000000000002</v>
      </c>
      <c r="T29" s="97">
        <v>0.72729999999999995</v>
      </c>
      <c r="U29" s="97">
        <v>0.6</v>
      </c>
      <c r="V29" s="97">
        <v>0.3019</v>
      </c>
      <c r="W29" s="97">
        <v>0.6</v>
      </c>
      <c r="X29" s="97">
        <v>0.4138</v>
      </c>
      <c r="Y29" s="97">
        <v>0.16669999999999999</v>
      </c>
      <c r="Z29" s="97">
        <v>0.35709999999999997</v>
      </c>
      <c r="AA29" s="97">
        <v>0.6</v>
      </c>
      <c r="AB29" s="97">
        <v>0.2</v>
      </c>
      <c r="AC29" s="97">
        <v>0.375</v>
      </c>
      <c r="AD29" s="97">
        <v>0.75</v>
      </c>
      <c r="AE29" s="97">
        <v>0.52629999999999999</v>
      </c>
      <c r="AF29" s="96">
        <v>0.90910000000000002</v>
      </c>
      <c r="AG29" s="97">
        <v>0.3654</v>
      </c>
      <c r="AH29" s="97">
        <v>0</v>
      </c>
      <c r="AI29" s="97">
        <v>0.29630000000000001</v>
      </c>
      <c r="AJ29" s="97">
        <v>0.52780000000000005</v>
      </c>
      <c r="AK29" s="97">
        <v>0.42859999999999998</v>
      </c>
      <c r="AL29" s="107"/>
      <c r="AM29" s="107"/>
    </row>
    <row r="30" spans="1:39" x14ac:dyDescent="0.25">
      <c r="B30" s="376"/>
      <c r="C30" s="376" t="s">
        <v>83</v>
      </c>
      <c r="D30" s="118" t="s">
        <v>137</v>
      </c>
      <c r="E30" s="20">
        <v>25</v>
      </c>
      <c r="F30" s="119">
        <v>0.73</v>
      </c>
      <c r="G30" s="127" t="s">
        <v>66</v>
      </c>
      <c r="H30" s="96">
        <v>0.84150000000000003</v>
      </c>
      <c r="I30" s="96">
        <v>0.84260000000000002</v>
      </c>
      <c r="J30" s="96">
        <v>0.85029999999999994</v>
      </c>
      <c r="K30" s="96">
        <v>0.83589999999999998</v>
      </c>
      <c r="L30" s="96">
        <v>0.84260000000000002</v>
      </c>
      <c r="M30" s="96">
        <v>0.84179999999999999</v>
      </c>
      <c r="N30" s="96">
        <v>0.85709999999999997</v>
      </c>
      <c r="O30" s="96">
        <v>0.79369999999999996</v>
      </c>
      <c r="P30" s="96">
        <v>0.85340000000000005</v>
      </c>
      <c r="Q30" s="96">
        <v>0.89739999999999998</v>
      </c>
      <c r="R30" s="96">
        <v>0.85289999999999999</v>
      </c>
      <c r="S30" s="96">
        <v>0.86319999999999997</v>
      </c>
      <c r="T30" s="96">
        <v>0.9677</v>
      </c>
      <c r="U30" s="97">
        <v>0.67530000000000001</v>
      </c>
      <c r="V30" s="96">
        <v>0.877</v>
      </c>
      <c r="W30" s="96">
        <v>0.85450000000000004</v>
      </c>
      <c r="X30" s="96">
        <v>1</v>
      </c>
      <c r="Y30" s="96">
        <v>0.78949999999999998</v>
      </c>
      <c r="Z30" s="96">
        <v>0.85709999999999997</v>
      </c>
      <c r="AA30" s="96">
        <v>1</v>
      </c>
      <c r="AB30" s="96">
        <v>0.84619999999999995</v>
      </c>
      <c r="AC30" s="96">
        <v>0.84289999999999998</v>
      </c>
      <c r="AD30" s="96">
        <v>0.89359999999999995</v>
      </c>
      <c r="AE30" s="96">
        <v>0.85189999999999999</v>
      </c>
      <c r="AF30" s="97">
        <v>0.68520000000000003</v>
      </c>
      <c r="AG30" s="96">
        <v>0.83189999999999997</v>
      </c>
      <c r="AH30" s="96">
        <v>0.86360000000000003</v>
      </c>
      <c r="AI30" s="96">
        <v>0.87180000000000002</v>
      </c>
      <c r="AJ30" s="96">
        <v>0.81869999999999998</v>
      </c>
      <c r="AK30" s="96">
        <v>0.87690000000000001</v>
      </c>
      <c r="AL30" s="107"/>
      <c r="AM30" s="107"/>
    </row>
    <row r="31" spans="1:39" x14ac:dyDescent="0.25">
      <c r="B31" s="376"/>
      <c r="C31" s="376"/>
      <c r="D31" s="118" t="s">
        <v>138</v>
      </c>
      <c r="E31" s="20">
        <v>26</v>
      </c>
      <c r="F31" s="119">
        <v>0.8</v>
      </c>
      <c r="G31" s="127" t="s">
        <v>66</v>
      </c>
      <c r="H31" s="96">
        <v>0.84440000000000004</v>
      </c>
      <c r="I31" s="96">
        <v>0.84260000000000002</v>
      </c>
      <c r="J31" s="96">
        <v>0.84840000000000004</v>
      </c>
      <c r="K31" s="96">
        <v>0.84350000000000003</v>
      </c>
      <c r="L31" s="96">
        <v>0.84260000000000002</v>
      </c>
      <c r="M31" s="96">
        <v>0.84109999999999996</v>
      </c>
      <c r="N31" s="96">
        <v>0.85419999999999996</v>
      </c>
      <c r="O31" s="96">
        <v>0.80210000000000004</v>
      </c>
      <c r="P31" s="96">
        <v>0.86060000000000003</v>
      </c>
      <c r="Q31" s="96">
        <v>0.89739999999999998</v>
      </c>
      <c r="R31" s="96">
        <v>0.85289999999999999</v>
      </c>
      <c r="S31" s="96">
        <v>0.86319999999999997</v>
      </c>
      <c r="T31" s="96">
        <v>0.9677</v>
      </c>
      <c r="U31" s="97">
        <v>0.67530000000000001</v>
      </c>
      <c r="V31" s="96">
        <v>0.877</v>
      </c>
      <c r="W31" s="96">
        <v>0.85189999999999999</v>
      </c>
      <c r="X31" s="99"/>
      <c r="Y31" s="97">
        <v>0.78949999999999998</v>
      </c>
      <c r="Z31" s="96">
        <v>1</v>
      </c>
      <c r="AA31" s="99"/>
      <c r="AB31" s="96">
        <v>0.84309999999999996</v>
      </c>
      <c r="AC31" s="96">
        <v>0.84289999999999998</v>
      </c>
      <c r="AD31" s="96">
        <v>0.89129999999999998</v>
      </c>
      <c r="AE31" s="96">
        <v>0.84</v>
      </c>
      <c r="AF31" s="97">
        <v>0.71150000000000002</v>
      </c>
      <c r="AG31" s="96">
        <v>0.83189999999999997</v>
      </c>
      <c r="AH31" s="96">
        <v>0.86360000000000003</v>
      </c>
      <c r="AI31" s="96">
        <v>0.88890000000000002</v>
      </c>
      <c r="AJ31" s="96">
        <v>0.81759999999999999</v>
      </c>
      <c r="AK31" s="96">
        <v>0.88370000000000004</v>
      </c>
      <c r="AL31" s="107"/>
      <c r="AM31" s="107"/>
    </row>
    <row r="32" spans="1:39" x14ac:dyDescent="0.25">
      <c r="B32" s="376"/>
      <c r="C32" s="376"/>
      <c r="D32" s="118" t="s">
        <v>19</v>
      </c>
      <c r="E32" s="20">
        <v>27</v>
      </c>
      <c r="F32" s="119">
        <v>0.69</v>
      </c>
      <c r="G32" s="127" t="s">
        <v>66</v>
      </c>
      <c r="H32" s="97">
        <v>0.61109999999999998</v>
      </c>
      <c r="I32" s="99"/>
      <c r="J32" s="96">
        <v>0.90910000000000002</v>
      </c>
      <c r="K32" s="97">
        <v>0.1429</v>
      </c>
      <c r="L32" s="99"/>
      <c r="M32" s="96">
        <v>0.85709999999999997</v>
      </c>
      <c r="N32" s="96">
        <v>1</v>
      </c>
      <c r="O32" s="97">
        <v>0</v>
      </c>
      <c r="P32" s="97">
        <v>0.2</v>
      </c>
      <c r="Q32" s="99"/>
      <c r="R32" s="99"/>
      <c r="S32" s="99"/>
      <c r="T32" s="99"/>
      <c r="U32" s="99"/>
      <c r="V32" s="99"/>
      <c r="W32" s="96">
        <v>1</v>
      </c>
      <c r="X32" s="96">
        <v>1</v>
      </c>
      <c r="Y32" s="99"/>
      <c r="Z32" s="97">
        <v>0.5</v>
      </c>
      <c r="AA32" s="96">
        <v>1</v>
      </c>
      <c r="AB32" s="96">
        <v>1</v>
      </c>
      <c r="AC32" s="99"/>
      <c r="AD32" s="96">
        <v>1</v>
      </c>
      <c r="AE32" s="96">
        <v>1</v>
      </c>
      <c r="AF32" s="97">
        <v>0</v>
      </c>
      <c r="AG32" s="99"/>
      <c r="AH32" s="99"/>
      <c r="AI32" s="97">
        <v>0</v>
      </c>
      <c r="AJ32" s="96">
        <v>1</v>
      </c>
      <c r="AK32" s="97">
        <v>0</v>
      </c>
      <c r="AL32" s="107"/>
      <c r="AM32" s="107"/>
    </row>
    <row r="33" spans="2:39" ht="15" customHeight="1" x14ac:dyDescent="0.25">
      <c r="B33" s="378" t="s">
        <v>139</v>
      </c>
      <c r="C33" s="378"/>
      <c r="D33" s="102" t="s">
        <v>140</v>
      </c>
      <c r="E33" s="105">
        <v>28</v>
      </c>
      <c r="F33" s="120">
        <v>0.8</v>
      </c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31"/>
      <c r="AM33" s="131"/>
    </row>
    <row r="34" spans="2:39" ht="15" customHeight="1" x14ac:dyDescent="0.25">
      <c r="B34" s="378"/>
      <c r="C34" s="378"/>
      <c r="D34" s="102" t="s">
        <v>141</v>
      </c>
      <c r="E34" s="105">
        <v>29</v>
      </c>
      <c r="F34" s="120">
        <v>0.9</v>
      </c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31"/>
      <c r="AM34" s="131"/>
    </row>
    <row r="35" spans="2:39" ht="15" customHeight="1" x14ac:dyDescent="0.25">
      <c r="B35" s="378"/>
      <c r="C35" s="378"/>
      <c r="D35" s="102" t="s">
        <v>142</v>
      </c>
      <c r="E35" s="105">
        <v>30</v>
      </c>
      <c r="F35" s="120">
        <v>1</v>
      </c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1"/>
      <c r="AM35" s="131"/>
    </row>
    <row r="36" spans="2:39" ht="15" customHeight="1" x14ac:dyDescent="0.25">
      <c r="B36" s="378"/>
      <c r="C36" s="378"/>
      <c r="D36" s="102" t="s">
        <v>143</v>
      </c>
      <c r="E36" s="105">
        <v>31</v>
      </c>
      <c r="F36" s="103">
        <v>0.95</v>
      </c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31"/>
      <c r="AM36" s="131"/>
    </row>
    <row r="37" spans="2:39" ht="15" customHeight="1" x14ac:dyDescent="0.25">
      <c r="B37" s="378"/>
      <c r="C37" s="378"/>
      <c r="D37" s="102" t="s">
        <v>144</v>
      </c>
      <c r="E37" s="105">
        <v>32</v>
      </c>
      <c r="F37" s="103">
        <v>1</v>
      </c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31"/>
      <c r="AM37" s="131"/>
    </row>
    <row r="38" spans="2:39" ht="15" customHeight="1" x14ac:dyDescent="0.25">
      <c r="B38" s="378"/>
      <c r="C38" s="378"/>
      <c r="D38" s="102" t="s">
        <v>145</v>
      </c>
      <c r="E38" s="105">
        <v>33</v>
      </c>
      <c r="F38" s="103">
        <v>0.95</v>
      </c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31"/>
      <c r="AM38" s="131"/>
    </row>
    <row r="39" spans="2:39" ht="15" customHeight="1" x14ac:dyDescent="0.25">
      <c r="B39" s="378"/>
      <c r="C39" s="378"/>
      <c r="D39" s="102" t="s">
        <v>146</v>
      </c>
      <c r="E39" s="105">
        <v>34</v>
      </c>
      <c r="F39" s="103">
        <v>1</v>
      </c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31"/>
      <c r="AM39" s="131"/>
    </row>
    <row r="40" spans="2:39" ht="15" customHeight="1" x14ac:dyDescent="0.25">
      <c r="B40" s="378"/>
      <c r="C40" s="378"/>
      <c r="D40" s="102" t="s">
        <v>147</v>
      </c>
      <c r="E40" s="105">
        <v>35</v>
      </c>
      <c r="F40" s="103">
        <v>0.8</v>
      </c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31"/>
      <c r="AM40" s="131"/>
    </row>
    <row r="41" spans="2:39" ht="15" customHeight="1" x14ac:dyDescent="0.25">
      <c r="B41" s="378"/>
      <c r="C41" s="378"/>
      <c r="D41" s="102" t="s">
        <v>148</v>
      </c>
      <c r="E41" s="105">
        <v>36</v>
      </c>
      <c r="F41" s="103">
        <v>0.9</v>
      </c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31"/>
      <c r="AM41" s="131"/>
    </row>
    <row r="42" spans="2:39" ht="15" customHeight="1" x14ac:dyDescent="0.25">
      <c r="B42" s="378"/>
      <c r="C42" s="378"/>
      <c r="D42" s="102" t="s">
        <v>149</v>
      </c>
      <c r="E42" s="105">
        <v>37</v>
      </c>
      <c r="F42" s="103">
        <v>0.95</v>
      </c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31"/>
      <c r="AM42" s="131"/>
    </row>
    <row r="43" spans="2:39" ht="15" customHeight="1" x14ac:dyDescent="0.25">
      <c r="B43" s="378"/>
      <c r="C43" s="378"/>
      <c r="D43" s="102" t="s">
        <v>150</v>
      </c>
      <c r="E43" s="105">
        <v>38</v>
      </c>
      <c r="F43" s="103">
        <v>1</v>
      </c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31"/>
      <c r="AM43" s="131"/>
    </row>
    <row r="44" spans="2:39" ht="15" customHeight="1" x14ac:dyDescent="0.25">
      <c r="B44" s="378"/>
      <c r="C44" s="378"/>
      <c r="D44" s="102" t="s">
        <v>151</v>
      </c>
      <c r="E44" s="105">
        <v>39</v>
      </c>
      <c r="F44" s="103">
        <v>0.95</v>
      </c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31"/>
      <c r="AM44" s="131"/>
    </row>
    <row r="45" spans="2:39" ht="15" customHeight="1" x14ac:dyDescent="0.25">
      <c r="B45" s="378"/>
      <c r="C45" s="378"/>
      <c r="D45" s="102" t="s">
        <v>152</v>
      </c>
      <c r="E45" s="105">
        <v>40</v>
      </c>
      <c r="F45" s="103">
        <v>1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31"/>
      <c r="AM45" s="131"/>
    </row>
  </sheetData>
  <mergeCells count="29">
    <mergeCell ref="AF3:AH3"/>
    <mergeCell ref="AI3:AK3"/>
    <mergeCell ref="AL2:AL3"/>
    <mergeCell ref="H2:K3"/>
    <mergeCell ref="L2:P3"/>
    <mergeCell ref="Q2:V2"/>
    <mergeCell ref="W2:AE2"/>
    <mergeCell ref="AF2:AK2"/>
    <mergeCell ref="AL4:AM4"/>
    <mergeCell ref="B5:B12"/>
    <mergeCell ref="C6:C12"/>
    <mergeCell ref="B13:B24"/>
    <mergeCell ref="C13:C18"/>
    <mergeCell ref="C19:C24"/>
    <mergeCell ref="B2:B4"/>
    <mergeCell ref="C2:C4"/>
    <mergeCell ref="D2:D4"/>
    <mergeCell ref="E2:E4"/>
    <mergeCell ref="F2:F4"/>
    <mergeCell ref="G2:G4"/>
    <mergeCell ref="AM2:AM3"/>
    <mergeCell ref="Q3:V3"/>
    <mergeCell ref="W3:AA3"/>
    <mergeCell ref="AB3:AE3"/>
    <mergeCell ref="B25:B32"/>
    <mergeCell ref="C25:C26"/>
    <mergeCell ref="C27:C29"/>
    <mergeCell ref="C30:C32"/>
    <mergeCell ref="B33:C45"/>
  </mergeCells>
  <conditionalFormatting sqref="G36 J36:AK36 G38 J38:AK38 G42 J42:AK42 G44 J44:AK44">
    <cfRule type="cellIs" dxfId="484" priority="53" operator="lessThan">
      <formula>0.95</formula>
    </cfRule>
  </conditionalFormatting>
  <conditionalFormatting sqref="G19:AK19">
    <cfRule type="cellIs" dxfId="483" priority="35" operator="greaterThanOrEqual">
      <formula>0.9</formula>
    </cfRule>
    <cfRule type="containsBlanks" dxfId="482" priority="32">
      <formula>LEN(TRIM(G19))=0</formula>
    </cfRule>
    <cfRule type="cellIs" dxfId="481" priority="33" operator="equal">
      <formula>"-"</formula>
    </cfRule>
    <cfRule type="cellIs" dxfId="480" priority="34" operator="lessThan">
      <formula>0.9</formula>
    </cfRule>
  </conditionalFormatting>
  <conditionalFormatting sqref="G20:AK20">
    <cfRule type="cellIs" dxfId="479" priority="4" operator="equal">
      <formula>"-"</formula>
    </cfRule>
    <cfRule type="cellIs" dxfId="478" priority="5" operator="lessThan">
      <formula>0.75</formula>
    </cfRule>
    <cfRule type="cellIs" dxfId="477" priority="6" operator="between">
      <formula>0.75</formula>
      <formula>0.8</formula>
    </cfRule>
    <cfRule type="cellIs" dxfId="476" priority="7" operator="greaterThanOrEqual">
      <formula>0.8</formula>
    </cfRule>
  </conditionalFormatting>
  <conditionalFormatting sqref="G22:AK22">
    <cfRule type="cellIs" dxfId="475" priority="2" operator="lessThan">
      <formula>0.7</formula>
    </cfRule>
    <cfRule type="cellIs" dxfId="474" priority="3" operator="greaterThanOrEqual">
      <formula>0.7</formula>
    </cfRule>
    <cfRule type="cellIs" dxfId="473" priority="1" operator="equal">
      <formula>"-"</formula>
    </cfRule>
  </conditionalFormatting>
  <conditionalFormatting sqref="G33:AK33">
    <cfRule type="cellIs" dxfId="472" priority="92" operator="greaterThanOrEqual">
      <formula>0.8</formula>
    </cfRule>
    <cfRule type="cellIs" dxfId="471" priority="91" operator="lessThan">
      <formula>0.8</formula>
    </cfRule>
  </conditionalFormatting>
  <conditionalFormatting sqref="G33:AK34">
    <cfRule type="cellIs" dxfId="470" priority="86" operator="equal">
      <formula>"-"</formula>
    </cfRule>
  </conditionalFormatting>
  <conditionalFormatting sqref="G33:AK35">
    <cfRule type="cellIs" dxfId="469" priority="82" operator="greaterThan">
      <formula>1</formula>
    </cfRule>
  </conditionalFormatting>
  <conditionalFormatting sqref="G34:AK34">
    <cfRule type="cellIs" dxfId="468" priority="88" operator="greaterThanOrEqual">
      <formula>0.9</formula>
    </cfRule>
    <cfRule type="cellIs" dxfId="467" priority="87" operator="lessThan">
      <formula>0.9</formula>
    </cfRule>
  </conditionalFormatting>
  <conditionalFormatting sqref="G35:AK35">
    <cfRule type="cellIs" dxfId="466" priority="83" operator="lessThan">
      <formula>1</formula>
    </cfRule>
    <cfRule type="cellIs" dxfId="465" priority="84" operator="equal">
      <formula>1</formula>
    </cfRule>
  </conditionalFormatting>
  <conditionalFormatting sqref="G36:AK36 G38:AK38 G42:AK42 G44:AK44">
    <cfRule type="cellIs" dxfId="464" priority="52" operator="greaterThanOrEqual">
      <formula>0.95</formula>
    </cfRule>
  </conditionalFormatting>
  <conditionalFormatting sqref="G37:AK37 G39:AK39 G43:AK43 G45:AK45">
    <cfRule type="cellIs" dxfId="463" priority="54" operator="lessThan">
      <formula>1</formula>
    </cfRule>
  </conditionalFormatting>
  <conditionalFormatting sqref="G40:AK40">
    <cfRule type="cellIs" dxfId="462" priority="67" operator="equal">
      <formula>"-"</formula>
    </cfRule>
    <cfRule type="cellIs" dxfId="461" priority="68" operator="lessThan">
      <formula>0.8</formula>
    </cfRule>
    <cfRule type="cellIs" dxfId="460" priority="69" operator="greaterThan">
      <formula>0.8</formula>
    </cfRule>
  </conditionalFormatting>
  <conditionalFormatting sqref="G41:AK41">
    <cfRule type="cellIs" dxfId="459" priority="64" operator="equal">
      <formula>"-"</formula>
    </cfRule>
    <cfRule type="cellIs" dxfId="458" priority="66" operator="greaterThanOrEqual">
      <formula>0.9</formula>
    </cfRule>
    <cfRule type="cellIs" dxfId="457" priority="65" operator="lessThan">
      <formula>0.9</formula>
    </cfRule>
  </conditionalFormatting>
  <conditionalFormatting sqref="H36:I36">
    <cfRule type="cellIs" dxfId="456" priority="79" operator="equal">
      <formula>"-"</formula>
    </cfRule>
    <cfRule type="cellIs" dxfId="455" priority="81" operator="lessThan">
      <formula>0.95</formula>
    </cfRule>
  </conditionalFormatting>
  <conditionalFormatting sqref="H37:I37">
    <cfRule type="cellIs" dxfId="454" priority="76" operator="greaterThan">
      <formula>1</formula>
    </cfRule>
    <cfRule type="cellIs" dxfId="453" priority="77" operator="equal">
      <formula>1</formula>
    </cfRule>
  </conditionalFormatting>
  <conditionalFormatting sqref="H38:I38">
    <cfRule type="cellIs" dxfId="452" priority="73" operator="equal">
      <formula>"-"</formula>
    </cfRule>
    <cfRule type="cellIs" dxfId="451" priority="75" operator="lessThan">
      <formula>0.95</formula>
    </cfRule>
  </conditionalFormatting>
  <conditionalFormatting sqref="H39:I39">
    <cfRule type="cellIs" dxfId="450" priority="71" operator="equal">
      <formula>1</formula>
    </cfRule>
    <cfRule type="cellIs" dxfId="449" priority="70" operator="greaterThan">
      <formula>1</formula>
    </cfRule>
  </conditionalFormatting>
  <conditionalFormatting sqref="H42:I42">
    <cfRule type="cellIs" dxfId="448" priority="63" operator="lessThan">
      <formula>0.95</formula>
    </cfRule>
    <cfRule type="cellIs" dxfId="447" priority="61" operator="equal">
      <formula>"-"</formula>
    </cfRule>
  </conditionalFormatting>
  <conditionalFormatting sqref="H43:I43">
    <cfRule type="cellIs" dxfId="446" priority="58" operator="greaterThan">
      <formula>1</formula>
    </cfRule>
    <cfRule type="cellIs" dxfId="445" priority="59" operator="equal">
      <formula>1</formula>
    </cfRule>
  </conditionalFormatting>
  <conditionalFormatting sqref="H44:I44">
    <cfRule type="cellIs" dxfId="444" priority="55" operator="equal">
      <formula>"-"</formula>
    </cfRule>
    <cfRule type="cellIs" dxfId="443" priority="57" operator="lessThan">
      <formula>0.95</formula>
    </cfRule>
  </conditionalFormatting>
  <pageMargins left="0.7" right="0.7" top="0.75" bottom="0.75" header="0.3" footer="0.3"/>
  <pageSetup paperSize="9" orientation="landscape" horizontalDpi="4294967293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9"/>
  <sheetViews>
    <sheetView zoomScale="85" zoomScaleNormal="85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C4" sqref="C4:U29"/>
    </sheetView>
  </sheetViews>
  <sheetFormatPr defaultRowHeight="15" x14ac:dyDescent="0.25"/>
  <cols>
    <col min="1" max="1" width="15.140625" bestFit="1" customWidth="1"/>
    <col min="2" max="2" width="10.42578125" bestFit="1" customWidth="1"/>
    <col min="3" max="3" width="8.5703125" bestFit="1" customWidth="1"/>
    <col min="4" max="4" width="10.42578125" bestFit="1" customWidth="1"/>
    <col min="5" max="5" width="8.7109375" bestFit="1" customWidth="1"/>
    <col min="6" max="6" width="8.85546875" bestFit="1" customWidth="1"/>
    <col min="7" max="7" width="10.5703125" bestFit="1" customWidth="1"/>
    <col min="8" max="8" width="9.5703125" bestFit="1" customWidth="1"/>
    <col min="9" max="9" width="9.42578125" bestFit="1" customWidth="1"/>
    <col min="10" max="10" width="9.28515625" bestFit="1" customWidth="1"/>
    <col min="11" max="11" width="9.85546875" bestFit="1" customWidth="1"/>
    <col min="12" max="14" width="10.5703125" bestFit="1" customWidth="1"/>
    <col min="15" max="15" width="9.28515625" bestFit="1" customWidth="1"/>
    <col min="16" max="16" width="7.140625" bestFit="1" customWidth="1"/>
    <col min="17" max="17" width="7.5703125" bestFit="1" customWidth="1"/>
    <col min="18" max="21" width="10.140625" customWidth="1"/>
  </cols>
  <sheetData>
    <row r="1" spans="1:21" ht="103.5" customHeight="1" x14ac:dyDescent="0.25">
      <c r="A1" s="189"/>
      <c r="B1" s="156" t="s">
        <v>65</v>
      </c>
      <c r="C1" s="158" t="s">
        <v>5</v>
      </c>
      <c r="D1" s="169" t="s">
        <v>6</v>
      </c>
      <c r="E1" s="158" t="s">
        <v>8</v>
      </c>
      <c r="F1" s="158" t="s">
        <v>68</v>
      </c>
      <c r="G1" s="158" t="s">
        <v>9</v>
      </c>
      <c r="H1" s="158" t="s">
        <v>10</v>
      </c>
      <c r="I1" s="158" t="s">
        <v>72</v>
      </c>
      <c r="J1" s="158" t="s">
        <v>92</v>
      </c>
      <c r="K1" s="158" t="s">
        <v>13</v>
      </c>
      <c r="L1" s="158" t="s">
        <v>79</v>
      </c>
      <c r="M1" s="158" t="s">
        <v>93</v>
      </c>
      <c r="N1" s="158" t="s">
        <v>94</v>
      </c>
      <c r="O1" s="158" t="s">
        <v>17</v>
      </c>
      <c r="P1" s="118" t="s">
        <v>18</v>
      </c>
      <c r="Q1" s="118" t="s">
        <v>19</v>
      </c>
      <c r="R1" s="188" t="s">
        <v>155</v>
      </c>
      <c r="S1" s="188" t="s">
        <v>156</v>
      </c>
      <c r="T1" s="188" t="s">
        <v>157</v>
      </c>
      <c r="U1" s="188" t="s">
        <v>158</v>
      </c>
    </row>
    <row r="2" spans="1:21" x14ac:dyDescent="0.25">
      <c r="A2" s="189"/>
      <c r="B2" s="20">
        <v>1</v>
      </c>
      <c r="C2" s="20">
        <v>2</v>
      </c>
      <c r="D2" s="20">
        <v>3</v>
      </c>
      <c r="E2" s="20">
        <v>4</v>
      </c>
      <c r="F2" s="20">
        <v>5</v>
      </c>
      <c r="G2" s="20">
        <v>6</v>
      </c>
      <c r="H2" s="20">
        <v>7</v>
      </c>
      <c r="I2" s="20">
        <v>8</v>
      </c>
      <c r="J2" s="20">
        <v>9</v>
      </c>
      <c r="K2" s="20">
        <v>10</v>
      </c>
      <c r="L2" s="20">
        <v>11</v>
      </c>
      <c r="M2" s="20">
        <v>12</v>
      </c>
      <c r="N2" s="20">
        <v>13</v>
      </c>
      <c r="O2" s="20">
        <v>14</v>
      </c>
      <c r="P2" s="20">
        <v>15</v>
      </c>
      <c r="Q2" s="20">
        <v>16</v>
      </c>
      <c r="R2" s="20">
        <v>17</v>
      </c>
      <c r="S2" s="20">
        <v>18</v>
      </c>
      <c r="T2" s="20">
        <v>19</v>
      </c>
      <c r="U2" s="20">
        <v>20</v>
      </c>
    </row>
    <row r="3" spans="1:21" x14ac:dyDescent="0.25">
      <c r="A3" s="189"/>
      <c r="B3" s="157">
        <v>0.03</v>
      </c>
      <c r="C3" s="119">
        <v>0.9</v>
      </c>
      <c r="D3" s="119">
        <v>0.95</v>
      </c>
      <c r="E3" s="119">
        <v>0.04</v>
      </c>
      <c r="F3" s="119">
        <v>0.11</v>
      </c>
      <c r="G3" s="119">
        <v>0.9</v>
      </c>
      <c r="H3" s="119">
        <v>0.7</v>
      </c>
      <c r="I3" s="159">
        <v>0.28000000000000003</v>
      </c>
      <c r="J3" s="159">
        <v>6.9000000000000006E-2</v>
      </c>
      <c r="K3" s="119">
        <v>0.95</v>
      </c>
      <c r="L3" s="119">
        <v>0.8</v>
      </c>
      <c r="M3" s="119">
        <v>0.8</v>
      </c>
      <c r="N3" s="119">
        <v>0.75</v>
      </c>
      <c r="O3" s="119">
        <v>0.9</v>
      </c>
      <c r="P3" s="119">
        <v>0.86</v>
      </c>
      <c r="Q3" s="119">
        <v>0.75</v>
      </c>
      <c r="R3" s="119">
        <v>0.85</v>
      </c>
      <c r="S3" s="119">
        <v>0.95</v>
      </c>
      <c r="T3" s="119">
        <v>0.77</v>
      </c>
      <c r="U3" s="119">
        <v>0.95</v>
      </c>
    </row>
    <row r="4" spans="1:21" ht="14.25" customHeight="1" x14ac:dyDescent="0.25">
      <c r="A4" s="192" t="s">
        <v>40</v>
      </c>
      <c r="B4" s="172" t="s">
        <v>66</v>
      </c>
      <c r="C4" s="52">
        <v>0.94489069649211999</v>
      </c>
      <c r="D4" s="171">
        <v>0.97943661971830986</v>
      </c>
      <c r="E4" s="187">
        <v>2.2839801948570517E-2</v>
      </c>
      <c r="F4" s="171">
        <v>0.20103284885268594</v>
      </c>
      <c r="G4" s="52">
        <v>0.8675520459440057</v>
      </c>
      <c r="H4" s="186" t="s">
        <v>66</v>
      </c>
      <c r="I4" s="182">
        <v>0.29234119001555814</v>
      </c>
      <c r="J4" s="177">
        <v>7.8991374454059071E-2</v>
      </c>
      <c r="K4" s="173">
        <v>0.98118576403635438</v>
      </c>
      <c r="L4" s="181">
        <v>0.88950855417645081</v>
      </c>
      <c r="M4" s="52">
        <v>0.9204025100344847</v>
      </c>
      <c r="N4" s="168">
        <v>0.81685338528981977</v>
      </c>
      <c r="O4" s="175">
        <v>0.85860979462875198</v>
      </c>
      <c r="P4" s="176">
        <v>0.87751337391625162</v>
      </c>
      <c r="Q4" s="176">
        <v>0.77762403637082422</v>
      </c>
      <c r="R4" s="183">
        <v>0.8152866242038217</v>
      </c>
      <c r="S4" s="173">
        <v>0.98</v>
      </c>
      <c r="T4" s="173">
        <v>0.89351851851851849</v>
      </c>
      <c r="U4" s="173">
        <v>0.88278388278388276</v>
      </c>
    </row>
    <row r="5" spans="1:21" ht="14.25" customHeight="1" x14ac:dyDescent="0.25">
      <c r="A5" s="191" t="s">
        <v>45</v>
      </c>
      <c r="B5" s="172" t="s">
        <v>66</v>
      </c>
      <c r="C5" s="52">
        <v>0.96741071428571423</v>
      </c>
      <c r="D5" s="171">
        <v>0.9860114777618364</v>
      </c>
      <c r="E5" s="187">
        <v>6.8526676456191872E-3</v>
      </c>
      <c r="F5" s="171">
        <v>8.4189916789035729E-2</v>
      </c>
      <c r="G5" s="52">
        <v>0.92088382038488947</v>
      </c>
      <c r="H5" s="186" t="s">
        <v>66</v>
      </c>
      <c r="I5" s="182">
        <v>0.2373483377317466</v>
      </c>
      <c r="J5" s="177">
        <v>7.2807373210699411E-2</v>
      </c>
      <c r="K5" s="173">
        <v>0.98903859328613841</v>
      </c>
      <c r="L5" s="181">
        <v>0.89717647058823524</v>
      </c>
      <c r="M5" s="52">
        <v>0.95829260345389378</v>
      </c>
      <c r="N5" s="168">
        <v>0.75783234546994072</v>
      </c>
      <c r="O5" s="175">
        <v>0.89039312678989846</v>
      </c>
      <c r="P5" s="176">
        <v>0.87929433611884866</v>
      </c>
      <c r="Q5" s="176">
        <v>0.84578079534432593</v>
      </c>
      <c r="R5" s="183">
        <v>0.91666666666666663</v>
      </c>
      <c r="S5" s="173">
        <v>0.92307692307692313</v>
      </c>
      <c r="T5" s="173">
        <v>0.92105263157894735</v>
      </c>
      <c r="U5" s="173">
        <v>0.91836734693877553</v>
      </c>
    </row>
    <row r="6" spans="1:21" x14ac:dyDescent="0.25">
      <c r="A6" s="190" t="s">
        <v>159</v>
      </c>
      <c r="B6" s="172" t="s">
        <v>66</v>
      </c>
      <c r="C6" s="52">
        <v>0.95066666666666666</v>
      </c>
      <c r="D6" s="171">
        <v>0.98439241917502784</v>
      </c>
      <c r="E6" s="187">
        <v>6.6815144766146995E-3</v>
      </c>
      <c r="F6" s="171">
        <v>7.7951002227171495E-2</v>
      </c>
      <c r="G6" s="52">
        <v>0.90680628272251307</v>
      </c>
      <c r="H6" s="186" t="s">
        <v>66</v>
      </c>
      <c r="I6" s="182">
        <v>0.26714867965586381</v>
      </c>
      <c r="J6" s="177">
        <v>9.0114200225504856E-2</v>
      </c>
      <c r="K6" s="173">
        <v>0.98842750170183802</v>
      </c>
      <c r="L6" s="181">
        <v>0.82496194824961944</v>
      </c>
      <c r="M6" s="52">
        <v>0.9597388465723613</v>
      </c>
      <c r="N6" s="168">
        <v>0.53670886075949364</v>
      </c>
      <c r="O6" s="175">
        <v>0.87308347529812602</v>
      </c>
      <c r="P6" s="176">
        <v>0.90625</v>
      </c>
      <c r="Q6" s="176">
        <v>0.83768115942028987</v>
      </c>
      <c r="R6" s="183">
        <v>0.8</v>
      </c>
      <c r="S6" s="173">
        <v>1</v>
      </c>
      <c r="T6" s="173">
        <v>1</v>
      </c>
      <c r="U6" s="173">
        <v>1</v>
      </c>
    </row>
    <row r="7" spans="1:21" x14ac:dyDescent="0.25">
      <c r="A7" s="190" t="s">
        <v>43</v>
      </c>
      <c r="B7" s="172" t="s">
        <v>66</v>
      </c>
      <c r="C7" s="52">
        <v>0.97729729729729731</v>
      </c>
      <c r="D7" s="171">
        <v>0.99223468507333912</v>
      </c>
      <c r="E7" s="187">
        <v>7.5362318840579709E-3</v>
      </c>
      <c r="F7" s="171">
        <v>9.7391304347826085E-2</v>
      </c>
      <c r="G7" s="52">
        <v>0.92933810375670844</v>
      </c>
      <c r="H7" s="186" t="s">
        <v>66</v>
      </c>
      <c r="I7" s="182">
        <v>0.23933395925209619</v>
      </c>
      <c r="J7" s="177">
        <v>7.9161940190204269E-2</v>
      </c>
      <c r="K7" s="173">
        <v>0.9893554109994086</v>
      </c>
      <c r="L7" s="181">
        <v>0.91774647887323946</v>
      </c>
      <c r="M7" s="52">
        <v>0.96114195083267251</v>
      </c>
      <c r="N7" s="168">
        <v>0.83268482490272377</v>
      </c>
      <c r="O7" s="175">
        <v>0.88543689320388352</v>
      </c>
      <c r="P7" s="176">
        <v>0.87090163934426235</v>
      </c>
      <c r="Q7" s="176">
        <v>0.88787185354691078</v>
      </c>
      <c r="R7" s="183">
        <v>1</v>
      </c>
      <c r="S7" s="173">
        <v>0.75</v>
      </c>
      <c r="T7" s="173">
        <v>0.85</v>
      </c>
      <c r="U7" s="173">
        <v>0.875</v>
      </c>
    </row>
    <row r="8" spans="1:21" x14ac:dyDescent="0.25">
      <c r="A8" s="190" t="s">
        <v>44</v>
      </c>
      <c r="B8" s="172" t="s">
        <v>66</v>
      </c>
      <c r="C8" s="52">
        <v>0.97345132743362828</v>
      </c>
      <c r="D8" s="171">
        <v>0.97814207650273222</v>
      </c>
      <c r="E8" s="187">
        <v>5.9171597633136093E-3</v>
      </c>
      <c r="F8" s="171">
        <v>7.0019723865877709E-2</v>
      </c>
      <c r="G8" s="52">
        <v>0.92633015006821284</v>
      </c>
      <c r="H8" s="186" t="s">
        <v>66</v>
      </c>
      <c r="I8" s="182">
        <v>0.21049525755983822</v>
      </c>
      <c r="J8" s="177">
        <v>5.089307560557866E-2</v>
      </c>
      <c r="K8" s="173">
        <v>0.98933552091878585</v>
      </c>
      <c r="L8" s="181">
        <v>0.94745908699397074</v>
      </c>
      <c r="M8" s="52">
        <v>0.952755905511811</v>
      </c>
      <c r="N8" s="168">
        <v>0.9375</v>
      </c>
      <c r="O8" s="175">
        <v>0.9153297682709447</v>
      </c>
      <c r="P8" s="176">
        <v>0.86710963455149503</v>
      </c>
      <c r="Q8" s="176">
        <v>0.7831325301204819</v>
      </c>
      <c r="R8" s="183">
        <v>1</v>
      </c>
      <c r="S8" s="173">
        <v>1</v>
      </c>
      <c r="T8" s="173">
        <v>1</v>
      </c>
      <c r="U8" s="173">
        <v>0.94117647058823528</v>
      </c>
    </row>
    <row r="9" spans="1:21" x14ac:dyDescent="0.25">
      <c r="A9" s="153" t="s">
        <v>160</v>
      </c>
      <c r="B9" s="172" t="s">
        <v>66</v>
      </c>
      <c r="C9" s="52">
        <v>0.98484848484848486</v>
      </c>
      <c r="D9" s="171">
        <v>0.97633136094674555</v>
      </c>
      <c r="E9" s="187">
        <v>1.4598540145985401E-2</v>
      </c>
      <c r="F9" s="171">
        <v>9.8540145985401464E-2</v>
      </c>
      <c r="G9" s="52">
        <v>0.88043478260869568</v>
      </c>
      <c r="H9" s="186" t="s">
        <v>66</v>
      </c>
      <c r="I9" s="182">
        <v>0.28113348247576436</v>
      </c>
      <c r="J9" s="177">
        <v>0.21768015727747272</v>
      </c>
      <c r="K9" s="173">
        <v>0.99392097264437695</v>
      </c>
      <c r="L9" s="181">
        <v>0.64329896907216499</v>
      </c>
      <c r="M9" s="52">
        <v>0.97058823529411764</v>
      </c>
      <c r="N9" s="168">
        <v>0.36032388663967613</v>
      </c>
      <c r="O9" s="175">
        <v>0.89968652037617558</v>
      </c>
      <c r="P9" s="176">
        <v>0.91228070175438591</v>
      </c>
      <c r="Q9" s="176">
        <v>0.88235294117647056</v>
      </c>
      <c r="R9" s="183">
        <v>0.5</v>
      </c>
      <c r="S9" s="173"/>
      <c r="T9" s="173">
        <v>1</v>
      </c>
      <c r="U9" s="173">
        <v>1</v>
      </c>
    </row>
    <row r="10" spans="1:21" x14ac:dyDescent="0.25">
      <c r="A10" s="153" t="s">
        <v>161</v>
      </c>
      <c r="B10" s="172" t="s">
        <v>66</v>
      </c>
      <c r="C10" s="52">
        <v>0.93150684931506844</v>
      </c>
      <c r="D10" s="171">
        <v>1</v>
      </c>
      <c r="E10" s="187">
        <v>9.2592592592592587E-3</v>
      </c>
      <c r="F10" s="171">
        <v>1.8518518518518517E-2</v>
      </c>
      <c r="G10" s="52">
        <v>0.91549295774647887</v>
      </c>
      <c r="H10" s="186" t="s">
        <v>66</v>
      </c>
      <c r="I10" s="182">
        <v>0.30171836643606337</v>
      </c>
      <c r="J10" s="177">
        <v>6.1890946961243774E-2</v>
      </c>
      <c r="K10" s="173">
        <v>0.9838709677419355</v>
      </c>
      <c r="L10" s="181">
        <v>0.84177215189873422</v>
      </c>
      <c r="M10" s="52">
        <v>0.94444444444444442</v>
      </c>
      <c r="N10" s="168">
        <v>0.4375</v>
      </c>
      <c r="O10" s="175">
        <v>0.88461538461538458</v>
      </c>
      <c r="P10" s="176">
        <v>0.97058823529411764</v>
      </c>
      <c r="Q10" s="176">
        <v>0.73333333333333328</v>
      </c>
      <c r="R10" s="183">
        <v>1</v>
      </c>
      <c r="S10" s="173">
        <v>1</v>
      </c>
      <c r="T10" s="173">
        <v>1</v>
      </c>
      <c r="U10" s="173">
        <v>1</v>
      </c>
    </row>
    <row r="11" spans="1:21" x14ac:dyDescent="0.25">
      <c r="A11" s="153" t="s">
        <v>162</v>
      </c>
      <c r="B11" s="172" t="s">
        <v>66</v>
      </c>
      <c r="C11" s="52">
        <v>0.9854368932038835</v>
      </c>
      <c r="D11" s="171">
        <v>0.97356828193832601</v>
      </c>
      <c r="E11" s="187">
        <v>6.1162079510703364E-3</v>
      </c>
      <c r="F11" s="171">
        <v>0.11620795107033639</v>
      </c>
      <c r="G11" s="52">
        <v>0.92567567567567566</v>
      </c>
      <c r="H11" s="186" t="s">
        <v>66</v>
      </c>
      <c r="I11" s="182">
        <v>0.16683350016683351</v>
      </c>
      <c r="J11" s="177">
        <v>0</v>
      </c>
      <c r="K11" s="173">
        <v>0.96</v>
      </c>
      <c r="L11" s="181">
        <v>0.92307692307692313</v>
      </c>
      <c r="M11" s="52">
        <v>0.92307692307692313</v>
      </c>
      <c r="N11" s="168">
        <v>0</v>
      </c>
      <c r="O11" s="175">
        <v>0.74399999999999999</v>
      </c>
      <c r="P11" s="176">
        <v>0.91891891891891897</v>
      </c>
      <c r="Q11" s="176">
        <v>0.7142857142857143</v>
      </c>
      <c r="R11" s="183">
        <v>1</v>
      </c>
      <c r="S11" s="173"/>
      <c r="T11" s="173">
        <v>1</v>
      </c>
      <c r="U11" s="173">
        <v>1</v>
      </c>
    </row>
    <row r="12" spans="1:21" x14ac:dyDescent="0.25">
      <c r="A12" s="153" t="s">
        <v>163</v>
      </c>
      <c r="B12" s="172" t="s">
        <v>66</v>
      </c>
      <c r="C12" s="52">
        <v>0.5</v>
      </c>
      <c r="D12" s="171">
        <v>0.93939393939393945</v>
      </c>
      <c r="E12" s="187">
        <v>2.4390243902439025E-2</v>
      </c>
      <c r="F12" s="171">
        <v>7.3170731707317069E-2</v>
      </c>
      <c r="G12" s="52">
        <v>0.76</v>
      </c>
      <c r="H12" s="186" t="s">
        <v>66</v>
      </c>
      <c r="I12" s="182">
        <v>0.48130671506352091</v>
      </c>
      <c r="J12" s="177">
        <v>4.7186932849364784E-3</v>
      </c>
      <c r="K12" s="173">
        <v>0.99065420560747663</v>
      </c>
      <c r="L12" s="181">
        <v>0.96103896103896103</v>
      </c>
      <c r="M12" s="52">
        <v>0.96052631578947367</v>
      </c>
      <c r="N12" s="168">
        <v>1</v>
      </c>
      <c r="O12" s="175">
        <v>0.84313725490196079</v>
      </c>
      <c r="P12" s="176">
        <v>0.8571428571428571</v>
      </c>
      <c r="Q12" s="176">
        <v>0.73913043478260865</v>
      </c>
      <c r="R12" s="183"/>
      <c r="S12" s="173"/>
      <c r="T12" s="173">
        <v>1</v>
      </c>
      <c r="U12" s="173">
        <v>1</v>
      </c>
    </row>
    <row r="13" spans="1:21" x14ac:dyDescent="0.25">
      <c r="A13" s="153" t="s">
        <v>164</v>
      </c>
      <c r="B13" s="172" t="s">
        <v>66</v>
      </c>
      <c r="C13" s="52">
        <v>0.94545454545454544</v>
      </c>
      <c r="D13" s="171">
        <v>0.99270072992700731</v>
      </c>
      <c r="E13" s="187" t="s">
        <v>67</v>
      </c>
      <c r="F13" s="171">
        <v>7.650273224043716E-2</v>
      </c>
      <c r="G13" s="52">
        <v>0.9652173913043478</v>
      </c>
      <c r="H13" s="186" t="s">
        <v>66</v>
      </c>
      <c r="I13" s="182">
        <v>0.3381653042688465</v>
      </c>
      <c r="J13" s="177">
        <v>6.8010899182561313E-2</v>
      </c>
      <c r="K13" s="173">
        <v>0.99038461538461542</v>
      </c>
      <c r="L13" s="181">
        <v>0.94117647058823528</v>
      </c>
      <c r="M13" s="52">
        <v>0.94017094017094016</v>
      </c>
      <c r="N13" s="168">
        <v>0.97222222222222221</v>
      </c>
      <c r="O13" s="175">
        <v>0.84065934065934067</v>
      </c>
      <c r="P13" s="176">
        <v>0.91489361702127658</v>
      </c>
      <c r="Q13" s="176">
        <v>0.98076923076923073</v>
      </c>
      <c r="R13" s="183">
        <v>1</v>
      </c>
      <c r="S13" s="173"/>
      <c r="T13" s="173"/>
      <c r="U13" s="173"/>
    </row>
    <row r="14" spans="1:21" x14ac:dyDescent="0.25">
      <c r="A14" s="153" t="s">
        <v>165</v>
      </c>
      <c r="B14" s="172" t="s">
        <v>66</v>
      </c>
      <c r="C14" s="52">
        <v>0.94736842105263153</v>
      </c>
      <c r="D14" s="171">
        <v>0.99598393574297184</v>
      </c>
      <c r="E14" s="187">
        <v>2.4154589371980675E-3</v>
      </c>
      <c r="F14" s="171">
        <v>5.0724637681159424E-2</v>
      </c>
      <c r="G14" s="52">
        <v>0.89015151515151514</v>
      </c>
      <c r="H14" s="186" t="s">
        <v>66</v>
      </c>
      <c r="I14" s="182">
        <v>0.2336644095635062</v>
      </c>
      <c r="J14" s="177">
        <v>6.3653408122472388E-2</v>
      </c>
      <c r="K14" s="173">
        <v>0.99789915966386555</v>
      </c>
      <c r="L14" s="181">
        <v>0.96439169139465875</v>
      </c>
      <c r="M14" s="52">
        <v>0.98062015503875966</v>
      </c>
      <c r="N14" s="168">
        <v>0.92405063291139244</v>
      </c>
      <c r="O14" s="175">
        <v>0.92413793103448272</v>
      </c>
      <c r="P14" s="176">
        <v>0.85507246376811596</v>
      </c>
      <c r="Q14" s="176">
        <v>0.82291666666666663</v>
      </c>
      <c r="R14" s="183">
        <v>0.83333333333333337</v>
      </c>
      <c r="S14" s="173">
        <v>1</v>
      </c>
      <c r="T14" s="173">
        <v>1</v>
      </c>
      <c r="U14" s="173">
        <v>1</v>
      </c>
    </row>
    <row r="15" spans="1:21" x14ac:dyDescent="0.25">
      <c r="A15" s="153" t="s">
        <v>166</v>
      </c>
      <c r="B15" s="172" t="s">
        <v>66</v>
      </c>
      <c r="C15" s="52">
        <v>0.97333333333333338</v>
      </c>
      <c r="D15" s="171">
        <v>1</v>
      </c>
      <c r="E15" s="187" t="s">
        <v>67</v>
      </c>
      <c r="F15" s="171">
        <v>4.2105263157894736E-2</v>
      </c>
      <c r="G15" s="52">
        <v>0.92207792207792205</v>
      </c>
      <c r="H15" s="186" t="s">
        <v>66</v>
      </c>
      <c r="I15" s="182">
        <v>0.26694668066736671</v>
      </c>
      <c r="J15" s="177">
        <v>0.10617197526542994</v>
      </c>
      <c r="K15" s="173">
        <v>0.98913043478260865</v>
      </c>
      <c r="L15" s="181">
        <v>0.97716894977168944</v>
      </c>
      <c r="M15" s="52">
        <v>0.97315436241610742</v>
      </c>
      <c r="N15" s="168">
        <v>0.98571428571428577</v>
      </c>
      <c r="O15" s="175">
        <v>0.87428571428571433</v>
      </c>
      <c r="P15" s="176">
        <v>0.84375</v>
      </c>
      <c r="Q15" s="176">
        <v>0.92727272727272725</v>
      </c>
      <c r="R15" s="183">
        <v>1</v>
      </c>
      <c r="S15" s="173"/>
      <c r="T15" s="173">
        <v>1</v>
      </c>
      <c r="U15" s="173">
        <v>1</v>
      </c>
    </row>
    <row r="16" spans="1:21" x14ac:dyDescent="0.25">
      <c r="A16" s="153" t="s">
        <v>167</v>
      </c>
      <c r="B16" s="172" t="s">
        <v>66</v>
      </c>
      <c r="C16" s="52">
        <v>1</v>
      </c>
      <c r="D16" s="171">
        <v>0.98809523809523814</v>
      </c>
      <c r="E16" s="187">
        <v>1.6877637130801686E-2</v>
      </c>
      <c r="F16" s="171">
        <v>6.7510548523206745E-2</v>
      </c>
      <c r="G16" s="52">
        <v>0.92672413793103448</v>
      </c>
      <c r="H16" s="186" t="s">
        <v>66</v>
      </c>
      <c r="I16" s="182">
        <v>0.20165368320349869</v>
      </c>
      <c r="J16" s="177">
        <v>7.2844061773951085E-2</v>
      </c>
      <c r="K16" s="173">
        <v>0.99598393574297184</v>
      </c>
      <c r="L16" s="181">
        <v>0.90977443609022557</v>
      </c>
      <c r="M16" s="52">
        <v>0.98369565217391308</v>
      </c>
      <c r="N16" s="168">
        <v>0.74390243902439024</v>
      </c>
      <c r="O16" s="175">
        <v>0.87665198237885467</v>
      </c>
      <c r="P16" s="176">
        <v>0.890625</v>
      </c>
      <c r="Q16" s="176">
        <v>0.98461538461538467</v>
      </c>
      <c r="R16" s="183"/>
      <c r="S16" s="173">
        <v>1</v>
      </c>
      <c r="T16" s="173"/>
      <c r="U16" s="173"/>
    </row>
    <row r="17" spans="1:21" x14ac:dyDescent="0.25">
      <c r="A17" s="153" t="s">
        <v>168</v>
      </c>
      <c r="B17" s="172" t="s">
        <v>66</v>
      </c>
      <c r="C17" s="52">
        <v>0.99009900990099009</v>
      </c>
      <c r="D17" s="171">
        <v>0.98630136986301364</v>
      </c>
      <c r="E17" s="187">
        <v>8.4388185654008432E-3</v>
      </c>
      <c r="F17" s="171">
        <v>8.0168776371308023E-2</v>
      </c>
      <c r="G17" s="52">
        <v>0.96581196581196582</v>
      </c>
      <c r="H17" s="186" t="s">
        <v>66</v>
      </c>
      <c r="I17" s="182">
        <v>0.181424883120508</v>
      </c>
      <c r="J17" s="177">
        <v>0.14513990649640637</v>
      </c>
      <c r="K17" s="173">
        <v>1</v>
      </c>
      <c r="L17" s="181">
        <v>0.98882681564245811</v>
      </c>
      <c r="M17" s="52">
        <v>0.97979797979797978</v>
      </c>
      <c r="N17" s="168">
        <v>1</v>
      </c>
      <c r="O17" s="175">
        <v>0.85</v>
      </c>
      <c r="P17" s="176">
        <v>0.8125</v>
      </c>
      <c r="Q17" s="176">
        <v>0.90476190476190477</v>
      </c>
      <c r="R17" s="183">
        <v>1</v>
      </c>
      <c r="S17" s="173"/>
      <c r="T17" s="173">
        <v>0.5</v>
      </c>
      <c r="U17" s="173">
        <v>0.66666666666666663</v>
      </c>
    </row>
    <row r="18" spans="1:21" x14ac:dyDescent="0.25">
      <c r="A18" s="153" t="s">
        <v>169</v>
      </c>
      <c r="B18" s="172" t="s">
        <v>66</v>
      </c>
      <c r="C18" s="52">
        <v>0.98639455782312924</v>
      </c>
      <c r="D18" s="171">
        <v>0.98421052631578942</v>
      </c>
      <c r="E18" s="187" t="s">
        <v>67</v>
      </c>
      <c r="F18" s="171">
        <v>0.13584905660377358</v>
      </c>
      <c r="G18" s="52">
        <v>0.89583333333333337</v>
      </c>
      <c r="H18" s="186" t="s">
        <v>66</v>
      </c>
      <c r="I18" s="182">
        <v>0.1846724389898958</v>
      </c>
      <c r="J18" s="177">
        <v>2.8599714002859968E-2</v>
      </c>
      <c r="K18" s="173">
        <v>1</v>
      </c>
      <c r="L18" s="181">
        <v>0.96652719665271969</v>
      </c>
      <c r="M18" s="52">
        <v>0.97549019607843135</v>
      </c>
      <c r="N18" s="168">
        <v>0.91428571428571426</v>
      </c>
      <c r="O18" s="175">
        <v>0.95132743362831862</v>
      </c>
      <c r="P18" s="176">
        <v>0.8441558441558441</v>
      </c>
      <c r="Q18" s="176">
        <v>0.91860465116279066</v>
      </c>
      <c r="R18" s="183">
        <v>1</v>
      </c>
      <c r="S18" s="173">
        <v>1</v>
      </c>
      <c r="T18" s="173">
        <v>0.8</v>
      </c>
      <c r="U18" s="173">
        <v>0.8</v>
      </c>
    </row>
    <row r="19" spans="1:21" x14ac:dyDescent="0.25">
      <c r="A19" s="153" t="s">
        <v>170</v>
      </c>
      <c r="B19" s="172" t="s">
        <v>66</v>
      </c>
      <c r="C19" s="52">
        <v>0.81944444444444442</v>
      </c>
      <c r="D19" s="171">
        <v>0.99065420560747663</v>
      </c>
      <c r="E19" s="187">
        <v>2.6905829596412557E-2</v>
      </c>
      <c r="F19" s="171">
        <v>0.16143497757847533</v>
      </c>
      <c r="G19" s="52">
        <v>0.93023255813953487</v>
      </c>
      <c r="H19" s="186" t="s">
        <v>66</v>
      </c>
      <c r="I19" s="182">
        <v>0.3952280161631711</v>
      </c>
      <c r="J19" s="177">
        <v>9.338721057020076E-2</v>
      </c>
      <c r="K19" s="173">
        <v>0.95486111111111116</v>
      </c>
      <c r="L19" s="181">
        <v>0.76237623762376239</v>
      </c>
      <c r="M19" s="52">
        <v>0.85616438356164382</v>
      </c>
      <c r="N19" s="168">
        <v>0.5357142857142857</v>
      </c>
      <c r="O19" s="175">
        <v>0.84033613445378152</v>
      </c>
      <c r="P19" s="176">
        <v>0.8571428571428571</v>
      </c>
      <c r="Q19" s="176">
        <v>0.77192982456140347</v>
      </c>
      <c r="R19" s="183">
        <v>1</v>
      </c>
      <c r="S19" s="173"/>
      <c r="T19" s="173">
        <v>1</v>
      </c>
      <c r="U19" s="173">
        <v>1</v>
      </c>
    </row>
    <row r="20" spans="1:21" x14ac:dyDescent="0.25">
      <c r="A20" s="153" t="s">
        <v>171</v>
      </c>
      <c r="B20" s="172" t="s">
        <v>66</v>
      </c>
      <c r="C20" s="52">
        <v>0.9859154929577465</v>
      </c>
      <c r="D20" s="171">
        <v>1</v>
      </c>
      <c r="E20" s="187" t="s">
        <v>67</v>
      </c>
      <c r="F20" s="171">
        <v>5.3497942386831275E-2</v>
      </c>
      <c r="G20" s="52">
        <v>0.95495495495495497</v>
      </c>
      <c r="H20" s="186" t="s">
        <v>66</v>
      </c>
      <c r="I20" s="182">
        <v>0.25263893743446347</v>
      </c>
      <c r="J20" s="177">
        <v>2.9080740999650474E-2</v>
      </c>
      <c r="K20" s="173">
        <v>1</v>
      </c>
      <c r="L20" s="181">
        <v>0.98611111111111116</v>
      </c>
      <c r="M20" s="52">
        <v>0.9921875</v>
      </c>
      <c r="N20" s="168">
        <v>0.9375</v>
      </c>
      <c r="O20" s="175">
        <v>0.91176470588235292</v>
      </c>
      <c r="P20" s="176">
        <v>0.90909090909090906</v>
      </c>
      <c r="Q20" s="176">
        <v>0.80701754385964908</v>
      </c>
      <c r="R20" s="183">
        <v>1</v>
      </c>
      <c r="S20" s="173"/>
      <c r="T20" s="173">
        <v>1</v>
      </c>
      <c r="U20" s="173">
        <v>1</v>
      </c>
    </row>
    <row r="21" spans="1:21" x14ac:dyDescent="0.25">
      <c r="A21" s="153" t="s">
        <v>172</v>
      </c>
      <c r="B21" s="172" t="s">
        <v>66</v>
      </c>
      <c r="C21" s="52">
        <v>1</v>
      </c>
      <c r="D21" s="171">
        <v>1</v>
      </c>
      <c r="E21" s="187" t="s">
        <v>67</v>
      </c>
      <c r="F21" s="171">
        <v>0.12587412587412589</v>
      </c>
      <c r="G21" s="52">
        <v>0.92</v>
      </c>
      <c r="H21" s="186" t="s">
        <v>66</v>
      </c>
      <c r="I21" s="182">
        <v>0.21874434593812195</v>
      </c>
      <c r="J21" s="177">
        <v>6.8210602496833722E-2</v>
      </c>
      <c r="K21" s="173">
        <v>1</v>
      </c>
      <c r="L21" s="181">
        <v>0.88073394495412849</v>
      </c>
      <c r="M21" s="52">
        <v>0.97499999999999998</v>
      </c>
      <c r="N21" s="168">
        <v>0.72413793103448276</v>
      </c>
      <c r="O21" s="175">
        <v>0.89010989010989006</v>
      </c>
      <c r="P21" s="176">
        <v>0.9242424242424242</v>
      </c>
      <c r="Q21" s="176">
        <v>0.96</v>
      </c>
      <c r="R21" s="183">
        <v>1</v>
      </c>
      <c r="S21" s="173">
        <v>1</v>
      </c>
      <c r="T21" s="173"/>
      <c r="U21" s="173"/>
    </row>
    <row r="22" spans="1:21" x14ac:dyDescent="0.25">
      <c r="A22" s="153" t="s">
        <v>173</v>
      </c>
      <c r="B22" s="172" t="s">
        <v>66</v>
      </c>
      <c r="C22" s="52">
        <v>0.98780487804878048</v>
      </c>
      <c r="D22" s="171">
        <v>1</v>
      </c>
      <c r="E22" s="187">
        <v>8.2644628099173556E-3</v>
      </c>
      <c r="F22" s="171">
        <v>9.9173553719008267E-2</v>
      </c>
      <c r="G22" s="52">
        <v>0.92045454545454541</v>
      </c>
      <c r="H22" s="186" t="s">
        <v>66</v>
      </c>
      <c r="I22" s="182">
        <v>0.25162280184114244</v>
      </c>
      <c r="J22" s="177">
        <v>0.1626342499704945</v>
      </c>
      <c r="K22" s="173">
        <v>1</v>
      </c>
      <c r="L22" s="181">
        <v>0.90322580645161288</v>
      </c>
      <c r="M22" s="52">
        <v>0.94594594594594594</v>
      </c>
      <c r="N22" s="168">
        <v>0.89622641509433965</v>
      </c>
      <c r="O22" s="175">
        <v>0.87421383647798745</v>
      </c>
      <c r="P22" s="176">
        <v>0.92063492063492058</v>
      </c>
      <c r="Q22" s="176">
        <v>0.8571428571428571</v>
      </c>
      <c r="R22" s="183"/>
      <c r="S22" s="173">
        <v>0</v>
      </c>
      <c r="T22" s="173">
        <v>1</v>
      </c>
      <c r="U22" s="173">
        <v>1</v>
      </c>
    </row>
    <row r="23" spans="1:21" x14ac:dyDescent="0.25">
      <c r="A23" s="153" t="s">
        <v>174</v>
      </c>
      <c r="B23" s="172" t="s">
        <v>66</v>
      </c>
      <c r="C23" s="52">
        <v>1</v>
      </c>
      <c r="D23" s="171">
        <v>0.99099099099099097</v>
      </c>
      <c r="E23" s="187" t="s">
        <v>67</v>
      </c>
      <c r="F23" s="171">
        <v>8.6956521739130432E-2</v>
      </c>
      <c r="G23" s="52">
        <v>0.94782608695652171</v>
      </c>
      <c r="H23" s="186" t="s">
        <v>66</v>
      </c>
      <c r="I23" s="182">
        <v>0.27185100473778795</v>
      </c>
      <c r="J23" s="177">
        <v>5.6635625987039161E-2</v>
      </c>
      <c r="K23" s="173">
        <v>0.99029126213592233</v>
      </c>
      <c r="L23" s="181">
        <v>0.88500000000000001</v>
      </c>
      <c r="M23" s="52">
        <v>0.96875</v>
      </c>
      <c r="N23" s="168">
        <v>0.625</v>
      </c>
      <c r="O23" s="175">
        <v>0.89119170984455964</v>
      </c>
      <c r="P23" s="176">
        <v>0.79411764705882348</v>
      </c>
      <c r="Q23" s="176">
        <v>0.86111111111111116</v>
      </c>
      <c r="R23" s="183">
        <v>1</v>
      </c>
      <c r="S23" s="173"/>
      <c r="T23" s="173"/>
      <c r="U23" s="173"/>
    </row>
    <row r="24" spans="1:21" x14ac:dyDescent="0.25">
      <c r="A24" s="153" t="s">
        <v>175</v>
      </c>
      <c r="B24" s="172" t="s">
        <v>66</v>
      </c>
      <c r="C24" s="52">
        <v>1</v>
      </c>
      <c r="D24" s="171">
        <v>0.98275862068965514</v>
      </c>
      <c r="E24" s="187" t="s">
        <v>67</v>
      </c>
      <c r="F24" s="171">
        <v>9.5238095238095233E-2</v>
      </c>
      <c r="G24" s="52">
        <v>0.90740740740740744</v>
      </c>
      <c r="H24" s="186" t="s">
        <v>66</v>
      </c>
      <c r="I24" s="182">
        <v>0.233669443226655</v>
      </c>
      <c r="J24" s="177">
        <v>3.6095279848019871E-2</v>
      </c>
      <c r="K24" s="173">
        <v>0.98449612403100772</v>
      </c>
      <c r="L24" s="181">
        <v>0.97029702970297027</v>
      </c>
      <c r="M24" s="52">
        <v>0.96341463414634143</v>
      </c>
      <c r="N24" s="168">
        <v>1</v>
      </c>
      <c r="O24" s="175">
        <v>0.93965517241379315</v>
      </c>
      <c r="P24" s="176">
        <v>0.77777777777777779</v>
      </c>
      <c r="Q24" s="176">
        <v>0.88095238095238093</v>
      </c>
      <c r="R24" s="183">
        <v>1</v>
      </c>
      <c r="S24" s="173">
        <v>1</v>
      </c>
      <c r="T24" s="173">
        <v>1</v>
      </c>
      <c r="U24" s="173">
        <v>1</v>
      </c>
    </row>
    <row r="25" spans="1:21" x14ac:dyDescent="0.25">
      <c r="A25" s="153" t="s">
        <v>176</v>
      </c>
      <c r="B25" s="172" t="s">
        <v>66</v>
      </c>
      <c r="C25" s="52">
        <v>0.98461538461538467</v>
      </c>
      <c r="D25" s="171">
        <v>0.96590909090909094</v>
      </c>
      <c r="E25" s="187">
        <v>1.9762845849802372E-2</v>
      </c>
      <c r="F25" s="171">
        <v>0.11462450592885376</v>
      </c>
      <c r="G25" s="52">
        <v>0.91712707182320441</v>
      </c>
      <c r="H25" s="186" t="s">
        <v>66</v>
      </c>
      <c r="I25" s="182">
        <v>0.22959218065385914</v>
      </c>
      <c r="J25" s="177">
        <v>5.1702055948769803E-2</v>
      </c>
      <c r="K25" s="173">
        <v>0.97899159663865543</v>
      </c>
      <c r="L25" s="181">
        <v>0.90308370044052866</v>
      </c>
      <c r="M25" s="52">
        <v>0.86904761904761907</v>
      </c>
      <c r="N25" s="168">
        <v>1</v>
      </c>
      <c r="O25" s="175">
        <v>0.89230769230769225</v>
      </c>
      <c r="P25" s="176">
        <v>0.89610389610389607</v>
      </c>
      <c r="Q25" s="176">
        <v>0.57999999999999996</v>
      </c>
      <c r="R25" s="183"/>
      <c r="S25" s="173"/>
      <c r="T25" s="173">
        <v>1</v>
      </c>
      <c r="U25" s="173">
        <v>1</v>
      </c>
    </row>
    <row r="26" spans="1:21" x14ac:dyDescent="0.25">
      <c r="A26" s="153" t="s">
        <v>177</v>
      </c>
      <c r="B26" s="172" t="s">
        <v>66</v>
      </c>
      <c r="C26" s="52">
        <v>1</v>
      </c>
      <c r="D26" s="171">
        <v>0.9882352941176471</v>
      </c>
      <c r="E26" s="187" t="s">
        <v>67</v>
      </c>
      <c r="F26" s="171">
        <v>1.5151515151515152E-2</v>
      </c>
      <c r="G26" s="52">
        <v>0.99047619047619051</v>
      </c>
      <c r="H26" s="186" t="s">
        <v>66</v>
      </c>
      <c r="I26" s="182">
        <v>0.1443722583152868</v>
      </c>
      <c r="J26" s="177">
        <v>3.1761896829363097E-2</v>
      </c>
      <c r="K26" s="173">
        <v>1</v>
      </c>
      <c r="L26" s="181">
        <v>0.9907407407407407</v>
      </c>
      <c r="M26" s="52">
        <v>0.98837209302325579</v>
      </c>
      <c r="N26" s="168">
        <v>1</v>
      </c>
      <c r="O26" s="175">
        <v>0.94897959183673475</v>
      </c>
      <c r="P26" s="176">
        <v>0.75</v>
      </c>
      <c r="Q26" s="176">
        <v>0.90476190476190477</v>
      </c>
      <c r="R26" s="183"/>
      <c r="S26" s="173">
        <v>1</v>
      </c>
      <c r="T26" s="173">
        <v>1</v>
      </c>
      <c r="U26" s="173">
        <v>1</v>
      </c>
    </row>
    <row r="27" spans="1:21" x14ac:dyDescent="0.25">
      <c r="A27" s="153" t="s">
        <v>178</v>
      </c>
      <c r="B27" s="172" t="s">
        <v>66</v>
      </c>
      <c r="C27" s="52">
        <v>0.90833333333333333</v>
      </c>
      <c r="D27" s="171">
        <v>0.97122302158273377</v>
      </c>
      <c r="E27" s="187">
        <v>5.5865921787709499E-3</v>
      </c>
      <c r="F27" s="171">
        <v>8.3798882681564241E-2</v>
      </c>
      <c r="G27" s="52">
        <v>0.92481203007518797</v>
      </c>
      <c r="H27" s="186" t="s">
        <v>66</v>
      </c>
      <c r="I27" s="182">
        <v>0.19771863117870722</v>
      </c>
      <c r="J27" s="177">
        <v>3.1550845400857536E-2</v>
      </c>
      <c r="K27" s="173">
        <v>1</v>
      </c>
      <c r="L27" s="181">
        <v>0.97014925373134331</v>
      </c>
      <c r="M27" s="52">
        <v>0.99415204678362568</v>
      </c>
      <c r="N27" s="168">
        <v>0.8666666666666667</v>
      </c>
      <c r="O27" s="175">
        <v>0.95454545454545459</v>
      </c>
      <c r="P27" s="176">
        <v>0.92307692307692313</v>
      </c>
      <c r="Q27" s="176">
        <v>0.81395348837209303</v>
      </c>
      <c r="R27" s="183">
        <v>1</v>
      </c>
      <c r="S27" s="173"/>
      <c r="T27" s="173"/>
      <c r="U27" s="173">
        <v>0.5</v>
      </c>
    </row>
    <row r="28" spans="1:21" x14ac:dyDescent="0.25">
      <c r="A28" s="153" t="s">
        <v>179</v>
      </c>
      <c r="B28" s="172" t="s">
        <v>66</v>
      </c>
      <c r="C28" s="52">
        <v>1</v>
      </c>
      <c r="D28" s="171">
        <v>0.98620689655172411</v>
      </c>
      <c r="E28" s="187" t="s">
        <v>67</v>
      </c>
      <c r="F28" s="171">
        <v>3.2258064516129031E-2</v>
      </c>
      <c r="G28" s="52">
        <v>0.94074074074074077</v>
      </c>
      <c r="H28" s="186" t="s">
        <v>66</v>
      </c>
      <c r="I28" s="182">
        <v>0.23000151217299258</v>
      </c>
      <c r="J28" s="177">
        <v>9.3376682292454258E-2</v>
      </c>
      <c r="K28" s="173">
        <v>0.97665369649805445</v>
      </c>
      <c r="L28" s="181">
        <v>0.92418772563176899</v>
      </c>
      <c r="M28" s="52">
        <v>0.96153846153846156</v>
      </c>
      <c r="N28" s="168">
        <v>0.86315789473684212</v>
      </c>
      <c r="O28" s="175">
        <v>0.86956521739130432</v>
      </c>
      <c r="P28" s="176">
        <v>0.91666666666666663</v>
      </c>
      <c r="Q28" s="176">
        <v>0.78260869565217395</v>
      </c>
      <c r="R28" s="183">
        <v>1</v>
      </c>
      <c r="S28" s="173"/>
      <c r="T28" s="173"/>
      <c r="U28" s="173"/>
    </row>
    <row r="29" spans="1:21" x14ac:dyDescent="0.25">
      <c r="A29" s="153" t="s">
        <v>180</v>
      </c>
      <c r="B29" s="172" t="s">
        <v>66</v>
      </c>
      <c r="C29" s="52">
        <v>0.97872340425531912</v>
      </c>
      <c r="D29" s="171">
        <v>0.98449612403100772</v>
      </c>
      <c r="E29" s="187" t="s">
        <v>67</v>
      </c>
      <c r="F29" s="171">
        <v>6.1111111111111109E-2</v>
      </c>
      <c r="G29" s="52">
        <v>0.88</v>
      </c>
      <c r="H29" s="186" t="s">
        <v>66</v>
      </c>
      <c r="I29" s="182">
        <v>0.21454256406374198</v>
      </c>
      <c r="J29" s="177">
        <v>4.6254589499981076E-2</v>
      </c>
      <c r="K29" s="173">
        <v>1</v>
      </c>
      <c r="L29" s="181">
        <v>0.96761133603238869</v>
      </c>
      <c r="M29" s="52">
        <v>0.96</v>
      </c>
      <c r="N29" s="168">
        <v>1</v>
      </c>
      <c r="O29" s="175">
        <v>0.92727272727272725</v>
      </c>
      <c r="P29" s="176">
        <v>0.82692307692307687</v>
      </c>
      <c r="Q29" s="176">
        <v>0.82978723404255317</v>
      </c>
      <c r="R29" s="183">
        <v>1</v>
      </c>
      <c r="S29" s="173"/>
      <c r="T29" s="173"/>
      <c r="U29" s="173"/>
    </row>
  </sheetData>
  <conditionalFormatting sqref="B4:B29">
    <cfRule type="cellIs" dxfId="442" priority="584" operator="equal">
      <formula>"-"</formula>
    </cfRule>
    <cfRule type="cellIs" dxfId="441" priority="587" operator="lessThanOrEqual">
      <formula>0.28</formula>
    </cfRule>
    <cfRule type="cellIs" dxfId="440" priority="586" operator="greaterThan">
      <formula>0.28</formula>
    </cfRule>
    <cfRule type="containsBlanks" dxfId="439" priority="585">
      <formula>LEN(TRIM(B4))=0</formula>
    </cfRule>
  </conditionalFormatting>
  <conditionalFormatting sqref="C4:C29">
    <cfRule type="containsBlanks" dxfId="438" priority="589">
      <formula>LEN(TRIM(C4))=0</formula>
    </cfRule>
    <cfRule type="cellIs" dxfId="437" priority="573" operator="greaterThanOrEqual">
      <formula>0.9</formula>
    </cfRule>
    <cfRule type="cellIs" dxfId="436" priority="572" operator="lessThan">
      <formula>0.9</formula>
    </cfRule>
  </conditionalFormatting>
  <conditionalFormatting sqref="D4:D29">
    <cfRule type="cellIs" dxfId="435" priority="211" operator="lessThan">
      <formula>0.95</formula>
    </cfRule>
    <cfRule type="containsBlanks" dxfId="434" priority="210">
      <formula>LEN(TRIM(D4))=0</formula>
    </cfRule>
    <cfRule type="cellIs" dxfId="433" priority="212" operator="greaterThanOrEqual">
      <formula>0.95</formula>
    </cfRule>
  </conditionalFormatting>
  <conditionalFormatting sqref="D4:H29">
    <cfRule type="cellIs" dxfId="432" priority="544" operator="equal">
      <formula>"-"</formula>
    </cfRule>
  </conditionalFormatting>
  <conditionalFormatting sqref="E4:E29">
    <cfRule type="cellIs" dxfId="431" priority="588" operator="lessThanOrEqual">
      <formula>0.04</formula>
    </cfRule>
    <cfRule type="containsBlanks" dxfId="430" priority="578">
      <formula>LEN(TRIM(E4))=0</formula>
    </cfRule>
    <cfRule type="cellIs" dxfId="429" priority="579" operator="greaterThan">
      <formula>0.04</formula>
    </cfRule>
  </conditionalFormatting>
  <conditionalFormatting sqref="F4:F29">
    <cfRule type="cellIs" dxfId="428" priority="547" operator="lessThanOrEqual">
      <formula>0.11</formula>
    </cfRule>
    <cfRule type="cellIs" dxfId="427" priority="546" operator="greaterThan">
      <formula>0.11</formula>
    </cfRule>
    <cfRule type="containsBlanks" dxfId="426" priority="545">
      <formula>LEN(TRIM(F4))=0</formula>
    </cfRule>
  </conditionalFormatting>
  <conditionalFormatting sqref="G4:G29">
    <cfRule type="cellIs" dxfId="425" priority="534" operator="greaterThanOrEqual">
      <formula>0.9</formula>
    </cfRule>
    <cfRule type="cellIs" dxfId="424" priority="542" operator="lessThan">
      <formula>0.9</formula>
    </cfRule>
    <cfRule type="containsBlanks" dxfId="423" priority="541">
      <formula>LEN(TRIM(G4))=0</formula>
    </cfRule>
  </conditionalFormatting>
  <conditionalFormatting sqref="G5:G29">
    <cfRule type="cellIs" dxfId="422" priority="533" operator="lessThan">
      <formula>0.9</formula>
    </cfRule>
    <cfRule type="containsBlanks" dxfId="421" priority="532">
      <formula>LEN(TRIM(G5))=0</formula>
    </cfRule>
    <cfRule type="cellIs" dxfId="420" priority="535" operator="equal">
      <formula>"-"</formula>
    </cfRule>
  </conditionalFormatting>
  <conditionalFormatting sqref="H4:H29">
    <cfRule type="cellIs" dxfId="419" priority="583" operator="lessThanOrEqual">
      <formula>0.28</formula>
    </cfRule>
    <cfRule type="cellIs" dxfId="418" priority="582" operator="greaterThan">
      <formula>0.28</formula>
    </cfRule>
    <cfRule type="containsBlanks" dxfId="417" priority="581">
      <formula>LEN(TRIM(H4))=0</formula>
    </cfRule>
  </conditionalFormatting>
  <conditionalFormatting sqref="I4">
    <cfRule type="cellIs" dxfId="416" priority="208" operator="lessThanOrEqual">
      <formula>0.28</formula>
    </cfRule>
    <cfRule type="cellIs" dxfId="415" priority="207" operator="greaterThan">
      <formula>0.28</formula>
    </cfRule>
  </conditionalFormatting>
  <conditionalFormatting sqref="I4:I11">
    <cfRule type="containsBlanks" dxfId="414" priority="180">
      <formula>LEN(TRIM(I4))=0</formula>
    </cfRule>
  </conditionalFormatting>
  <conditionalFormatting sqref="I5">
    <cfRule type="cellIs" dxfId="413" priority="201" operator="lessThanOrEqual">
      <formula>0.27</formula>
    </cfRule>
    <cfRule type="cellIs" dxfId="412" priority="200" operator="greaterThan">
      <formula>0.27</formula>
    </cfRule>
  </conditionalFormatting>
  <conditionalFormatting sqref="I6">
    <cfRule type="cellIs" dxfId="411" priority="204" operator="lessThanOrEqual">
      <formula>0.29</formula>
    </cfRule>
    <cfRule type="cellIs" dxfId="410" priority="203" operator="greaterThan">
      <formula>0.29</formula>
    </cfRule>
  </conditionalFormatting>
  <conditionalFormatting sqref="I7">
    <cfRule type="cellIs" dxfId="409" priority="196" operator="lessThanOrEqual">
      <formula>0.3</formula>
    </cfRule>
    <cfRule type="cellIs" dxfId="408" priority="195" operator="greaterThan">
      <formula>0.3</formula>
    </cfRule>
  </conditionalFormatting>
  <conditionalFormatting sqref="I8">
    <cfRule type="cellIs" dxfId="407" priority="192" operator="lessThanOrEqual">
      <formula>0.23</formula>
    </cfRule>
    <cfRule type="cellIs" dxfId="406" priority="191" operator="greaterThan">
      <formula>0.23</formula>
    </cfRule>
  </conditionalFormatting>
  <conditionalFormatting sqref="I9">
    <cfRule type="cellIs" dxfId="405" priority="188" operator="lessThanOrEqual">
      <formula>0.27</formula>
    </cfRule>
    <cfRule type="cellIs" dxfId="404" priority="187" operator="greaterThan">
      <formula>0.27</formula>
    </cfRule>
  </conditionalFormatting>
  <conditionalFormatting sqref="I10">
    <cfRule type="cellIs" dxfId="403" priority="178" operator="equal">
      <formula>"-"</formula>
    </cfRule>
  </conditionalFormatting>
  <conditionalFormatting sqref="I10:I11">
    <cfRule type="cellIs" dxfId="402" priority="182" operator="lessThanOrEqual">
      <formula>0.29</formula>
    </cfRule>
    <cfRule type="cellIs" dxfId="401" priority="181" operator="greaterThan">
      <formula>0.29</formula>
    </cfRule>
  </conditionalFormatting>
  <conditionalFormatting sqref="I11:I29">
    <cfRule type="cellIs" dxfId="400" priority="105" operator="equal">
      <formula>"-"</formula>
    </cfRule>
  </conditionalFormatting>
  <conditionalFormatting sqref="I12">
    <cfRule type="cellIs" dxfId="399" priority="176" operator="lessThanOrEqual">
      <formula>0.33</formula>
    </cfRule>
    <cfRule type="cellIs" dxfId="398" priority="175" operator="greaterThan">
      <formula>0.33</formula>
    </cfRule>
  </conditionalFormatting>
  <conditionalFormatting sqref="I12:I29">
    <cfRule type="containsBlanks" dxfId="397" priority="106">
      <formula>LEN(TRIM(I12))=0</formula>
    </cfRule>
  </conditionalFormatting>
  <conditionalFormatting sqref="I13">
    <cfRule type="cellIs" dxfId="396" priority="171" operator="greaterThan">
      <formula>0.29</formula>
    </cfRule>
    <cfRule type="cellIs" dxfId="395" priority="172" operator="lessThanOrEqual">
      <formula>0.29</formula>
    </cfRule>
  </conditionalFormatting>
  <conditionalFormatting sqref="I14">
    <cfRule type="cellIs" dxfId="394" priority="168" operator="lessThanOrEqual">
      <formula>0.27</formula>
    </cfRule>
    <cfRule type="cellIs" dxfId="393" priority="167" operator="greaterThan">
      <formula>0.27</formula>
    </cfRule>
  </conditionalFormatting>
  <conditionalFormatting sqref="I15">
    <cfRule type="cellIs" dxfId="392" priority="164" operator="lessThanOrEqual">
      <formula>0.32</formula>
    </cfRule>
    <cfRule type="cellIs" dxfId="391" priority="163" operator="greaterThan">
      <formula>0.32</formula>
    </cfRule>
  </conditionalFormatting>
  <conditionalFormatting sqref="I16">
    <cfRule type="cellIs" dxfId="390" priority="160" operator="lessThanOrEqual">
      <formula>0.27</formula>
    </cfRule>
    <cfRule type="cellIs" dxfId="389" priority="159" operator="greaterThan">
      <formula>0.27</formula>
    </cfRule>
  </conditionalFormatting>
  <conditionalFormatting sqref="I17">
    <cfRule type="cellIs" dxfId="388" priority="155" operator="greaterThan">
      <formula>0.29</formula>
    </cfRule>
    <cfRule type="cellIs" dxfId="387" priority="156" operator="lessThanOrEqual">
      <formula>0.29</formula>
    </cfRule>
  </conditionalFormatting>
  <conditionalFormatting sqref="I18">
    <cfRule type="cellIs" dxfId="386" priority="151" operator="greaterThan">
      <formula>0.27</formula>
    </cfRule>
    <cfRule type="cellIs" dxfId="385" priority="152" operator="lessThanOrEqual">
      <formula>0.27</formula>
    </cfRule>
  </conditionalFormatting>
  <conditionalFormatting sqref="I19">
    <cfRule type="cellIs" dxfId="384" priority="147" operator="greaterThan">
      <formula>0.37</formula>
    </cfRule>
    <cfRule type="cellIs" dxfId="383" priority="148" operator="lessThanOrEqual">
      <formula>0.37</formula>
    </cfRule>
  </conditionalFormatting>
  <conditionalFormatting sqref="I20">
    <cfRule type="cellIs" dxfId="382" priority="143" operator="greaterThan">
      <formula>0.27</formula>
    </cfRule>
    <cfRule type="cellIs" dxfId="381" priority="144" operator="lessThanOrEqual">
      <formula>0.27</formula>
    </cfRule>
  </conditionalFormatting>
  <conditionalFormatting sqref="I21">
    <cfRule type="cellIs" dxfId="380" priority="139" operator="greaterThan">
      <formula>0.29</formula>
    </cfRule>
    <cfRule type="cellIs" dxfId="379" priority="140" operator="lessThanOrEqual">
      <formula>0.29</formula>
    </cfRule>
  </conditionalFormatting>
  <conditionalFormatting sqref="I22">
    <cfRule type="cellIs" dxfId="378" priority="135" operator="greaterThan">
      <formula>0.28</formula>
    </cfRule>
    <cfRule type="cellIs" dxfId="377" priority="136" operator="lessThanOrEqual">
      <formula>0.28</formula>
    </cfRule>
  </conditionalFormatting>
  <conditionalFormatting sqref="I23">
    <cfRule type="cellIs" dxfId="376" priority="131" operator="greaterThan">
      <formula>0.32</formula>
    </cfRule>
    <cfRule type="cellIs" dxfId="375" priority="132" operator="lessThanOrEqual">
      <formula>0.32</formula>
    </cfRule>
  </conditionalFormatting>
  <conditionalFormatting sqref="I24">
    <cfRule type="cellIs" dxfId="374" priority="127" operator="greaterThan">
      <formula>0.235</formula>
    </cfRule>
    <cfRule type="cellIs" dxfId="373" priority="128" operator="lessThanOrEqual">
      <formula>0.235</formula>
    </cfRule>
  </conditionalFormatting>
  <conditionalFormatting sqref="I25">
    <cfRule type="cellIs" dxfId="372" priority="123" operator="greaterThan">
      <formula>0.245</formula>
    </cfRule>
    <cfRule type="cellIs" dxfId="371" priority="124" operator="lessThanOrEqual">
      <formula>0.245</formula>
    </cfRule>
  </conditionalFormatting>
  <conditionalFormatting sqref="I26">
    <cfRule type="cellIs" dxfId="370" priority="119" operator="greaterThan">
      <formula>0.195</formula>
    </cfRule>
    <cfRule type="cellIs" dxfId="369" priority="120" operator="lessThanOrEqual">
      <formula>0.195</formula>
    </cfRule>
  </conditionalFormatting>
  <conditionalFormatting sqref="I27:I28">
    <cfRule type="cellIs" dxfId="368" priority="111" operator="greaterThan">
      <formula>0.245</formula>
    </cfRule>
    <cfRule type="cellIs" dxfId="367" priority="112" operator="lessThanOrEqual">
      <formula>0.245</formula>
    </cfRule>
  </conditionalFormatting>
  <conditionalFormatting sqref="I29">
    <cfRule type="cellIs" dxfId="366" priority="107" operator="greaterThan">
      <formula>0.225</formula>
    </cfRule>
    <cfRule type="cellIs" dxfId="365" priority="108" operator="lessThanOrEqual">
      <formula>0.225</formula>
    </cfRule>
  </conditionalFormatting>
  <conditionalFormatting sqref="I4:J9">
    <cfRule type="cellIs" dxfId="364" priority="82" operator="equal">
      <formula>"-"</formula>
    </cfRule>
  </conditionalFormatting>
  <conditionalFormatting sqref="J4">
    <cfRule type="cellIs" dxfId="363" priority="104" operator="lessThanOrEqual">
      <formula>0.069</formula>
    </cfRule>
    <cfRule type="cellIs" dxfId="362" priority="103" operator="greaterThan">
      <formula>0.069</formula>
    </cfRule>
  </conditionalFormatting>
  <conditionalFormatting sqref="J4:J29">
    <cfRule type="containsBlanks" dxfId="361" priority="1">
      <formula>LEN(TRIM(J4))=0</formula>
    </cfRule>
  </conditionalFormatting>
  <conditionalFormatting sqref="J5">
    <cfRule type="cellIs" dxfId="360" priority="100" operator="lessThanOrEqual">
      <formula>0.064</formula>
    </cfRule>
    <cfRule type="cellIs" dxfId="359" priority="99" operator="greaterThan">
      <formula>0.064</formula>
    </cfRule>
  </conditionalFormatting>
  <conditionalFormatting sqref="J6">
    <cfRule type="cellIs" dxfId="358" priority="96" operator="lessThanOrEqual">
      <formula>0.0634</formula>
    </cfRule>
    <cfRule type="cellIs" dxfId="357" priority="95" operator="greaterThan">
      <formula>0.0634</formula>
    </cfRule>
  </conditionalFormatting>
  <conditionalFormatting sqref="J7">
    <cfRule type="cellIs" dxfId="356" priority="92" operator="lessThanOrEqual">
      <formula>0.0733</formula>
    </cfRule>
    <cfRule type="cellIs" dxfId="355" priority="91" operator="greaterThan">
      <formula>0.0733</formula>
    </cfRule>
  </conditionalFormatting>
  <conditionalFormatting sqref="J8">
    <cfRule type="cellIs" dxfId="354" priority="88" operator="lessThanOrEqual">
      <formula>0.0553</formula>
    </cfRule>
    <cfRule type="cellIs" dxfId="353" priority="87" operator="greaterThan">
      <formula>0.0553</formula>
    </cfRule>
  </conditionalFormatting>
  <conditionalFormatting sqref="J9">
    <cfRule type="cellIs" dxfId="352" priority="84" operator="lessThanOrEqual">
      <formula>0.0878</formula>
    </cfRule>
    <cfRule type="cellIs" dxfId="351" priority="83" operator="greaterThan">
      <formula>0.0878</formula>
    </cfRule>
  </conditionalFormatting>
  <conditionalFormatting sqref="J10">
    <cfRule type="cellIs" dxfId="350" priority="80" operator="lessThanOrEqual">
      <formula>0.064</formula>
    </cfRule>
    <cfRule type="cellIs" dxfId="349" priority="79" operator="greaterThan">
      <formula>0.064</formula>
    </cfRule>
  </conditionalFormatting>
  <conditionalFormatting sqref="J10:J29">
    <cfRule type="cellIs" dxfId="348" priority="2" operator="equal">
      <formula>"-"</formula>
    </cfRule>
  </conditionalFormatting>
  <conditionalFormatting sqref="J11:J12">
    <cfRule type="cellIs" dxfId="347" priority="72" operator="lessThanOrEqual">
      <formula>0.04</formula>
    </cfRule>
    <cfRule type="cellIs" dxfId="346" priority="71" operator="greaterThan">
      <formula>0.04</formula>
    </cfRule>
  </conditionalFormatting>
  <conditionalFormatting sqref="J13">
    <cfRule type="cellIs" dxfId="345" priority="68" operator="lessThanOrEqual">
      <formula>0.0575</formula>
    </cfRule>
    <cfRule type="cellIs" dxfId="344" priority="67" operator="greaterThan">
      <formula>0.0575</formula>
    </cfRule>
  </conditionalFormatting>
  <conditionalFormatting sqref="J14">
    <cfRule type="cellIs" dxfId="343" priority="64" operator="lessThanOrEqual">
      <formula>0.0911</formula>
    </cfRule>
    <cfRule type="cellIs" dxfId="342" priority="63" operator="greaterThan">
      <formula>0.0911</formula>
    </cfRule>
  </conditionalFormatting>
  <conditionalFormatting sqref="J15">
    <cfRule type="cellIs" dxfId="341" priority="59" operator="greaterThan">
      <formula>0.0617</formula>
    </cfRule>
    <cfRule type="cellIs" dxfId="340" priority="60" operator="lessThanOrEqual">
      <formula>0.0617</formula>
    </cfRule>
  </conditionalFormatting>
  <conditionalFormatting sqref="J16">
    <cfRule type="cellIs" dxfId="339" priority="56" operator="lessThanOrEqual">
      <formula>0.0549</formula>
    </cfRule>
    <cfRule type="cellIs" dxfId="338" priority="55" operator="greaterThan">
      <formula>0.0549</formula>
    </cfRule>
  </conditionalFormatting>
  <conditionalFormatting sqref="J17">
    <cfRule type="cellIs" dxfId="337" priority="52" operator="lessThanOrEqual">
      <formula>0.1038</formula>
    </cfRule>
    <cfRule type="cellIs" dxfId="336" priority="51" operator="greaterThan">
      <formula>0.1038</formula>
    </cfRule>
  </conditionalFormatting>
  <conditionalFormatting sqref="J18">
    <cfRule type="cellIs" dxfId="335" priority="47" operator="greaterThan">
      <formula>0.066</formula>
    </cfRule>
    <cfRule type="cellIs" dxfId="334" priority="48" operator="lessThanOrEqual">
      <formula>0.066</formula>
    </cfRule>
  </conditionalFormatting>
  <conditionalFormatting sqref="J19">
    <cfRule type="cellIs" dxfId="333" priority="43" operator="greaterThan">
      <formula>0.0599</formula>
    </cfRule>
    <cfRule type="cellIs" dxfId="332" priority="44" operator="lessThanOrEqual">
      <formula>0.0599</formula>
    </cfRule>
  </conditionalFormatting>
  <conditionalFormatting sqref="J20">
    <cfRule type="cellIs" dxfId="331" priority="39" operator="greaterThan">
      <formula>0.0768</formula>
    </cfRule>
    <cfRule type="cellIs" dxfId="330" priority="40" operator="lessThanOrEqual">
      <formula>0.0768</formula>
    </cfRule>
  </conditionalFormatting>
  <conditionalFormatting sqref="J21">
    <cfRule type="cellIs" dxfId="329" priority="35" operator="greaterThan">
      <formula>0.0817</formula>
    </cfRule>
    <cfRule type="cellIs" dxfId="328" priority="36" operator="lessThanOrEqual">
      <formula>0.0817</formula>
    </cfRule>
  </conditionalFormatting>
  <conditionalFormatting sqref="J22">
    <cfRule type="cellIs" dxfId="327" priority="32" operator="lessThanOrEqual">
      <formula>0.0951</formula>
    </cfRule>
    <cfRule type="cellIs" dxfId="326" priority="31" operator="greaterThan">
      <formula>0.0951</formula>
    </cfRule>
  </conditionalFormatting>
  <conditionalFormatting sqref="J23">
    <cfRule type="cellIs" dxfId="325" priority="28" operator="lessThanOrEqual">
      <formula>0.0594</formula>
    </cfRule>
    <cfRule type="cellIs" dxfId="324" priority="27" operator="greaterThan">
      <formula>0.0594</formula>
    </cfRule>
  </conditionalFormatting>
  <conditionalFormatting sqref="J24">
    <cfRule type="cellIs" dxfId="323" priority="24" operator="lessThanOrEqual">
      <formula>0.0492</formula>
    </cfRule>
    <cfRule type="cellIs" dxfId="322" priority="23" operator="greaterThan">
      <formula>0.0492</formula>
    </cfRule>
  </conditionalFormatting>
  <conditionalFormatting sqref="J25">
    <cfRule type="cellIs" dxfId="321" priority="20" operator="lessThanOrEqual">
      <formula>0.0409</formula>
    </cfRule>
    <cfRule type="cellIs" dxfId="320" priority="19" operator="greaterThan">
      <formula>0.0409</formula>
    </cfRule>
  </conditionalFormatting>
  <conditionalFormatting sqref="J26">
    <cfRule type="cellIs" dxfId="319" priority="16" operator="lessThanOrEqual">
      <formula>0.0507</formula>
    </cfRule>
    <cfRule type="cellIs" dxfId="318" priority="15" operator="greaterThan">
      <formula>0.0507</formula>
    </cfRule>
  </conditionalFormatting>
  <conditionalFormatting sqref="J27">
    <cfRule type="cellIs" dxfId="317" priority="12" operator="lessThanOrEqual">
      <formula>0.066</formula>
    </cfRule>
    <cfRule type="cellIs" dxfId="316" priority="11" operator="greaterThan">
      <formula>0.066</formula>
    </cfRule>
  </conditionalFormatting>
  <conditionalFormatting sqref="J28">
    <cfRule type="cellIs" dxfId="315" priority="8" operator="lessThanOrEqual">
      <formula>0.073</formula>
    </cfRule>
    <cfRule type="cellIs" dxfId="314" priority="7" operator="greaterThan">
      <formula>0.073</formula>
    </cfRule>
  </conditionalFormatting>
  <conditionalFormatting sqref="J29">
    <cfRule type="cellIs" dxfId="313" priority="4" operator="lessThanOrEqual">
      <formula>0.0518</formula>
    </cfRule>
    <cfRule type="cellIs" dxfId="312" priority="3" operator="greaterThan">
      <formula>0.0518</formula>
    </cfRule>
  </conditionalFormatting>
  <conditionalFormatting sqref="K4:K29">
    <cfRule type="cellIs" dxfId="311" priority="323" stopIfTrue="1" operator="greaterThanOrEqual">
      <formula>0.95</formula>
    </cfRule>
    <cfRule type="containsBlanks" dxfId="310" priority="322">
      <formula>LEN(TRIM(K4))=0</formula>
    </cfRule>
    <cfRule type="cellIs" dxfId="309" priority="592" stopIfTrue="1" operator="lessThan">
      <formula>0.95</formula>
    </cfRule>
  </conditionalFormatting>
  <conditionalFormatting sqref="L4:L29">
    <cfRule type="cellIs" dxfId="308" priority="215" operator="greaterThanOrEqual">
      <formula>0.8</formula>
    </cfRule>
    <cfRule type="containsBlanks" dxfId="307" priority="213">
      <formula>LEN(TRIM(L4))=0</formula>
    </cfRule>
    <cfRule type="cellIs" dxfId="306" priority="216" operator="equal">
      <formula>"-"</formula>
    </cfRule>
    <cfRule type="cellIs" dxfId="305" priority="214" operator="lessThan">
      <formula>0.8</formula>
    </cfRule>
  </conditionalFormatting>
  <conditionalFormatting sqref="M4:M29">
    <cfRule type="cellIs" dxfId="304" priority="307" operator="lessThan">
      <formula>0.8</formula>
    </cfRule>
    <cfRule type="cellIs" dxfId="303" priority="308" operator="greaterThanOrEqual">
      <formula>0.8</formula>
    </cfRule>
  </conditionalFormatting>
  <conditionalFormatting sqref="M4:N29">
    <cfRule type="containsBlanks" dxfId="302" priority="295">
      <formula>LEN(TRIM(M4))=0</formula>
    </cfRule>
  </conditionalFormatting>
  <conditionalFormatting sqref="N4:N29">
    <cfRule type="cellIs" dxfId="301" priority="294" operator="equal">
      <formula>"-"</formula>
    </cfRule>
    <cfRule type="cellIs" dxfId="300" priority="296" operator="lessThan">
      <formula>0.75</formula>
    </cfRule>
    <cfRule type="cellIs" dxfId="299" priority="297" operator="greaterThanOrEqual">
      <formula>0.75</formula>
    </cfRule>
  </conditionalFormatting>
  <conditionalFormatting sqref="O4:O29">
    <cfRule type="cellIs" dxfId="298" priority="286" operator="lessThan">
      <formula>0.9</formula>
    </cfRule>
    <cfRule type="cellIs" dxfId="297" priority="287" operator="greaterThanOrEqual">
      <formula>0.9</formula>
    </cfRule>
  </conditionalFormatting>
  <conditionalFormatting sqref="O4:Q29">
    <cfRule type="containsBlanks" dxfId="296" priority="264">
      <formula>LEN(TRIM(O4))=0</formula>
    </cfRule>
  </conditionalFormatting>
  <conditionalFormatting sqref="P4:P29">
    <cfRule type="cellIs" dxfId="295" priority="275" operator="lessThan">
      <formula>0.86</formula>
    </cfRule>
    <cfRule type="cellIs" dxfId="294" priority="276" operator="greaterThanOrEqual">
      <formula>0.86</formula>
    </cfRule>
    <cfRule type="cellIs" dxfId="293" priority="274" operator="equal">
      <formula>"-"</formula>
    </cfRule>
  </conditionalFormatting>
  <conditionalFormatting sqref="Q4:Q29">
    <cfRule type="cellIs" dxfId="292" priority="266" operator="greaterThanOrEqual">
      <formula>0.75</formula>
    </cfRule>
    <cfRule type="cellIs" dxfId="291" priority="265" operator="lessThan">
      <formula>0.75</formula>
    </cfRule>
  </conditionalFormatting>
  <conditionalFormatting sqref="R4:R29">
    <cfRule type="cellIs" dxfId="290" priority="260" stopIfTrue="1" operator="lessThan">
      <formula>0.85</formula>
    </cfRule>
    <cfRule type="cellIs" dxfId="289" priority="257" stopIfTrue="1" operator="greaterThanOrEqual">
      <formula>0.85</formula>
    </cfRule>
  </conditionalFormatting>
  <conditionalFormatting sqref="R5:R29">
    <cfRule type="cellIs" dxfId="288" priority="259" stopIfTrue="1" operator="greaterThanOrEqual">
      <formula>0.85</formula>
    </cfRule>
    <cfRule type="containsBlanks" dxfId="287" priority="258">
      <formula>LEN(TRIM(R5))=0</formula>
    </cfRule>
  </conditionalFormatting>
  <conditionalFormatting sqref="R4:U29">
    <cfRule type="containsBlanks" dxfId="286" priority="229">
      <formula>LEN(TRIM(R4))=0</formula>
    </cfRule>
  </conditionalFormatting>
  <conditionalFormatting sqref="S4:S29">
    <cfRule type="cellIs" dxfId="285" priority="251" stopIfTrue="1" operator="greaterThanOrEqual">
      <formula>0.95</formula>
    </cfRule>
    <cfRule type="cellIs" dxfId="284" priority="594" stopIfTrue="1" operator="lessThan">
      <formula>0.95</formula>
    </cfRule>
  </conditionalFormatting>
  <conditionalFormatting sqref="T4:T29">
    <cfRule type="cellIs" dxfId="283" priority="245" stopIfTrue="1" operator="greaterThanOrEqual">
      <formula>0.77</formula>
    </cfRule>
    <cfRule type="cellIs" dxfId="282" priority="595" stopIfTrue="1" operator="lessThan">
      <formula>0.77</formula>
    </cfRule>
  </conditionalFormatting>
  <conditionalFormatting sqref="U4:U29">
    <cfRule type="cellIs" dxfId="281" priority="230" stopIfTrue="1" operator="greaterThanOrEqual">
      <formula>0.95</formula>
    </cfRule>
    <cfRule type="cellIs" dxfId="280" priority="596" stopIfTrue="1" operator="lessThan">
      <formula>0.95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/>
  <dimension ref="A1:R52"/>
  <sheetViews>
    <sheetView zoomScale="90" zoomScaleNormal="90" workbookViewId="0">
      <selection activeCell="C29" sqref="C29"/>
    </sheetView>
  </sheetViews>
  <sheetFormatPr defaultColWidth="9.140625" defaultRowHeight="12.75" x14ac:dyDescent="0.2"/>
  <cols>
    <col min="1" max="1" width="12.85546875" style="21" customWidth="1"/>
    <col min="2" max="2" width="11.140625" style="11" customWidth="1"/>
    <col min="3" max="3" width="53.5703125" style="11" customWidth="1"/>
    <col min="4" max="4" width="5.7109375" style="11" customWidth="1"/>
    <col min="5" max="5" width="73.85546875" style="11" hidden="1" customWidth="1"/>
    <col min="6" max="6" width="8.7109375" style="11" customWidth="1"/>
    <col min="7" max="8" width="8.5703125" style="45" customWidth="1"/>
    <col min="9" max="9" width="10.42578125" style="45" customWidth="1"/>
    <col min="10" max="10" width="3.85546875" style="71" customWidth="1"/>
    <col min="11" max="11" width="9.85546875" style="45" customWidth="1"/>
    <col min="12" max="12" width="9.85546875" style="17" customWidth="1"/>
    <col min="13" max="18" width="9.85546875" style="46" customWidth="1"/>
    <col min="19" max="16384" width="9.140625" style="11"/>
  </cols>
  <sheetData>
    <row r="1" spans="1:18" x14ac:dyDescent="0.2">
      <c r="A1" s="9" t="s">
        <v>181</v>
      </c>
      <c r="B1" s="9"/>
      <c r="C1" s="10"/>
      <c r="D1" s="10"/>
      <c r="E1" s="10"/>
      <c r="G1" s="12"/>
      <c r="H1" s="12"/>
      <c r="I1" s="13"/>
      <c r="J1" s="69"/>
      <c r="K1" s="12"/>
      <c r="L1" s="47"/>
      <c r="M1" s="14"/>
      <c r="N1" s="14"/>
      <c r="O1" s="14"/>
      <c r="P1" s="14"/>
      <c r="Q1" s="14"/>
      <c r="R1" s="14"/>
    </row>
    <row r="2" spans="1:18" x14ac:dyDescent="0.2">
      <c r="A2" s="9" t="s">
        <v>182</v>
      </c>
      <c r="B2" s="9"/>
      <c r="C2" s="15"/>
      <c r="D2" s="15"/>
      <c r="E2" s="15"/>
      <c r="F2" s="16"/>
      <c r="G2" s="17"/>
      <c r="H2" s="17"/>
      <c r="I2" s="17"/>
      <c r="J2" s="18"/>
      <c r="K2" s="17"/>
      <c r="L2" s="18"/>
      <c r="M2" s="17"/>
      <c r="N2" s="17"/>
      <c r="O2" s="17"/>
      <c r="P2" s="17"/>
      <c r="Q2" s="17"/>
      <c r="R2" s="17"/>
    </row>
    <row r="3" spans="1:18" ht="15" customHeight="1" x14ac:dyDescent="0.2">
      <c r="A3" s="388" t="s">
        <v>183</v>
      </c>
      <c r="B3" s="389"/>
      <c r="C3" s="389"/>
      <c r="D3" s="389"/>
      <c r="E3" s="390"/>
      <c r="F3" s="331" t="s">
        <v>39</v>
      </c>
      <c r="G3" s="331" t="s">
        <v>40</v>
      </c>
      <c r="H3" s="388" t="s">
        <v>41</v>
      </c>
      <c r="I3" s="389"/>
      <c r="J3" s="389"/>
      <c r="K3" s="389"/>
      <c r="L3" s="389"/>
      <c r="M3" s="390"/>
      <c r="N3" s="338" t="s">
        <v>100</v>
      </c>
      <c r="O3" s="394"/>
      <c r="P3" s="394"/>
      <c r="Q3" s="394"/>
      <c r="R3" s="394"/>
    </row>
    <row r="4" spans="1:18" ht="12.75" customHeight="1" x14ac:dyDescent="0.2">
      <c r="A4" s="391"/>
      <c r="B4" s="392"/>
      <c r="C4" s="392"/>
      <c r="D4" s="392"/>
      <c r="E4" s="393"/>
      <c r="F4" s="395"/>
      <c r="G4" s="395"/>
      <c r="H4" s="391"/>
      <c r="I4" s="392"/>
      <c r="J4" s="392"/>
      <c r="K4" s="392"/>
      <c r="L4" s="392"/>
      <c r="M4" s="393"/>
      <c r="N4" s="394"/>
      <c r="O4" s="394"/>
      <c r="P4" s="394"/>
      <c r="Q4" s="394"/>
      <c r="R4" s="394"/>
    </row>
    <row r="5" spans="1:18" s="21" customFormat="1" ht="15" customHeight="1" x14ac:dyDescent="0.2">
      <c r="A5" s="20" t="s">
        <v>184</v>
      </c>
      <c r="B5" s="20" t="s">
        <v>185</v>
      </c>
      <c r="C5" s="20" t="s">
        <v>186</v>
      </c>
      <c r="D5" s="42" t="s">
        <v>187</v>
      </c>
      <c r="E5" s="42" t="s">
        <v>188</v>
      </c>
      <c r="F5" s="396"/>
      <c r="G5" s="395"/>
      <c r="H5" s="19" t="s">
        <v>189</v>
      </c>
      <c r="I5" s="19" t="s">
        <v>45</v>
      </c>
      <c r="J5" s="70"/>
      <c r="K5" s="64" t="s">
        <v>26</v>
      </c>
      <c r="L5" s="64" t="s">
        <v>46</v>
      </c>
      <c r="M5" s="64" t="s">
        <v>91</v>
      </c>
      <c r="N5" s="64" t="s">
        <v>26</v>
      </c>
      <c r="O5" s="64" t="s">
        <v>105</v>
      </c>
      <c r="P5" s="64" t="s">
        <v>106</v>
      </c>
      <c r="Q5" s="64" t="s">
        <v>103</v>
      </c>
      <c r="R5" s="64" t="s">
        <v>107</v>
      </c>
    </row>
    <row r="6" spans="1:18" s="21" customFormat="1" ht="12.95" customHeight="1" x14ac:dyDescent="0.2">
      <c r="A6" s="339" t="s">
        <v>139</v>
      </c>
      <c r="B6" s="339" t="s">
        <v>190</v>
      </c>
      <c r="C6" s="22" t="s">
        <v>140</v>
      </c>
      <c r="D6" s="23">
        <v>1</v>
      </c>
      <c r="E6" s="22" t="s">
        <v>191</v>
      </c>
      <c r="F6" s="24">
        <v>0.8</v>
      </c>
      <c r="G6" s="79"/>
      <c r="H6" s="79">
        <v>1</v>
      </c>
      <c r="I6" s="79"/>
      <c r="J6" s="75" t="str">
        <f>IF(H6=I6,"=",(IF(H6&lt;I6,"▲","▼")))</f>
        <v>▼</v>
      </c>
      <c r="K6" s="79"/>
      <c r="L6" s="79"/>
      <c r="M6" s="79"/>
      <c r="N6" s="79"/>
      <c r="O6" s="79"/>
      <c r="P6" s="79"/>
      <c r="Q6" s="79"/>
      <c r="R6" s="79"/>
    </row>
    <row r="7" spans="1:18" s="21" customFormat="1" ht="12.95" customHeight="1" x14ac:dyDescent="0.2">
      <c r="A7" s="339"/>
      <c r="B7" s="339"/>
      <c r="C7" s="22" t="s">
        <v>141</v>
      </c>
      <c r="D7" s="23">
        <v>2</v>
      </c>
      <c r="E7" s="22" t="s">
        <v>191</v>
      </c>
      <c r="F7" s="24">
        <v>0.9</v>
      </c>
      <c r="G7" s="79"/>
      <c r="H7" s="79">
        <v>1</v>
      </c>
      <c r="I7" s="79"/>
      <c r="J7" s="75" t="str">
        <f t="shared" ref="J7:J24" si="0">IF(H7=I7,"=",(IF(H7&lt;I7,"▲","▼")))</f>
        <v>▼</v>
      </c>
      <c r="K7" s="79"/>
      <c r="L7" s="79"/>
      <c r="M7" s="79"/>
      <c r="N7" s="79"/>
      <c r="O7" s="79"/>
      <c r="P7" s="79"/>
      <c r="Q7" s="79"/>
      <c r="R7" s="79"/>
    </row>
    <row r="8" spans="1:18" s="21" customFormat="1" ht="12.95" customHeight="1" x14ac:dyDescent="0.2">
      <c r="A8" s="339"/>
      <c r="B8" s="339"/>
      <c r="C8" s="22" t="s">
        <v>142</v>
      </c>
      <c r="D8" s="23">
        <v>3</v>
      </c>
      <c r="E8" s="22" t="s">
        <v>191</v>
      </c>
      <c r="F8" s="24">
        <v>1</v>
      </c>
      <c r="G8" s="80"/>
      <c r="H8" s="81">
        <v>1</v>
      </c>
      <c r="I8" s="81"/>
      <c r="J8" s="75" t="str">
        <f t="shared" si="0"/>
        <v>▼</v>
      </c>
      <c r="K8" s="81"/>
      <c r="L8" s="81"/>
      <c r="M8" s="81"/>
      <c r="N8" s="81"/>
      <c r="O8" s="81"/>
      <c r="P8" s="81"/>
      <c r="Q8" s="81"/>
      <c r="R8" s="81"/>
    </row>
    <row r="9" spans="1:18" ht="12.95" customHeight="1" x14ac:dyDescent="0.2">
      <c r="A9" s="339"/>
      <c r="B9" s="339"/>
      <c r="C9" s="22" t="s">
        <v>143</v>
      </c>
      <c r="D9" s="23">
        <v>4</v>
      </c>
      <c r="E9" s="22" t="s">
        <v>191</v>
      </c>
      <c r="F9" s="25">
        <v>0.95</v>
      </c>
      <c r="G9" s="82"/>
      <c r="H9" s="79">
        <v>0.97202797202797198</v>
      </c>
      <c r="I9" s="79"/>
      <c r="J9" s="78" t="str">
        <f t="shared" si="0"/>
        <v>▼</v>
      </c>
      <c r="K9" s="79"/>
      <c r="L9" s="79"/>
      <c r="M9" s="79"/>
      <c r="N9" s="79"/>
      <c r="O9" s="79"/>
      <c r="P9" s="79"/>
      <c r="Q9" s="79"/>
      <c r="R9" s="79"/>
    </row>
    <row r="10" spans="1:18" ht="12.95" customHeight="1" x14ac:dyDescent="0.2">
      <c r="A10" s="339"/>
      <c r="B10" s="339"/>
      <c r="C10" s="22" t="s">
        <v>144</v>
      </c>
      <c r="D10" s="23">
        <v>5</v>
      </c>
      <c r="E10" s="22" t="s">
        <v>191</v>
      </c>
      <c r="F10" s="25">
        <v>1</v>
      </c>
      <c r="G10" s="83"/>
      <c r="H10" s="79">
        <v>0.98601398601398604</v>
      </c>
      <c r="I10" s="79"/>
      <c r="J10" s="78" t="str">
        <f t="shared" si="0"/>
        <v>▼</v>
      </c>
      <c r="K10" s="79"/>
      <c r="L10" s="79"/>
      <c r="M10" s="79"/>
      <c r="N10" s="79"/>
      <c r="O10" s="79"/>
      <c r="P10" s="79"/>
      <c r="Q10" s="79"/>
      <c r="R10" s="79"/>
    </row>
    <row r="11" spans="1:18" ht="12.75" customHeight="1" x14ac:dyDescent="0.2">
      <c r="A11" s="339"/>
      <c r="B11" s="339"/>
      <c r="C11" s="22" t="s">
        <v>145</v>
      </c>
      <c r="D11" s="23">
        <v>6</v>
      </c>
      <c r="E11" s="22" t="s">
        <v>191</v>
      </c>
      <c r="F11" s="25">
        <v>0.95</v>
      </c>
      <c r="G11" s="82"/>
      <c r="H11" s="82">
        <v>0.98427471116816434</v>
      </c>
      <c r="I11" s="82"/>
      <c r="J11" s="75" t="str">
        <f t="shared" si="0"/>
        <v>▼</v>
      </c>
      <c r="K11" s="82"/>
      <c r="L11" s="82"/>
      <c r="M11" s="82"/>
      <c r="N11" s="82"/>
      <c r="O11" s="82"/>
      <c r="P11" s="82"/>
      <c r="Q11" s="82"/>
      <c r="R11" s="82"/>
    </row>
    <row r="12" spans="1:18" ht="12.95" customHeight="1" x14ac:dyDescent="0.2">
      <c r="A12" s="339"/>
      <c r="B12" s="339"/>
      <c r="C12" s="22" t="s">
        <v>146</v>
      </c>
      <c r="D12" s="23">
        <v>7</v>
      </c>
      <c r="E12" s="22" t="s">
        <v>191</v>
      </c>
      <c r="F12" s="25">
        <v>1</v>
      </c>
      <c r="G12" s="83"/>
      <c r="H12" s="82">
        <v>0.99967907573812576</v>
      </c>
      <c r="I12" s="82"/>
      <c r="J12" s="75" t="str">
        <f t="shared" si="0"/>
        <v>▼</v>
      </c>
      <c r="K12" s="82"/>
      <c r="L12" s="82"/>
      <c r="M12" s="82"/>
      <c r="N12" s="82"/>
      <c r="O12" s="82"/>
      <c r="P12" s="82"/>
      <c r="Q12" s="82"/>
      <c r="R12" s="82"/>
    </row>
    <row r="13" spans="1:18" ht="12.95" customHeight="1" x14ac:dyDescent="0.2">
      <c r="A13" s="339"/>
      <c r="B13" s="339"/>
      <c r="C13" s="22" t="s">
        <v>147</v>
      </c>
      <c r="D13" s="23">
        <v>8</v>
      </c>
      <c r="E13" s="22" t="s">
        <v>192</v>
      </c>
      <c r="F13" s="25">
        <v>0.8</v>
      </c>
      <c r="G13" s="82"/>
      <c r="H13" s="82">
        <v>0.9968980224893369</v>
      </c>
      <c r="I13" s="82"/>
      <c r="J13" s="78" t="str">
        <f t="shared" si="0"/>
        <v>▼</v>
      </c>
      <c r="K13" s="82"/>
      <c r="L13" s="82"/>
      <c r="M13" s="82"/>
      <c r="N13" s="82"/>
      <c r="O13" s="82"/>
      <c r="P13" s="82"/>
      <c r="Q13" s="82"/>
      <c r="R13" s="82"/>
    </row>
    <row r="14" spans="1:18" ht="12.95" customHeight="1" x14ac:dyDescent="0.2">
      <c r="A14" s="339"/>
      <c r="B14" s="339"/>
      <c r="C14" s="22" t="s">
        <v>148</v>
      </c>
      <c r="D14" s="23">
        <v>9</v>
      </c>
      <c r="E14" s="22" t="s">
        <v>192</v>
      </c>
      <c r="F14" s="25">
        <v>0.9</v>
      </c>
      <c r="G14" s="83"/>
      <c r="H14" s="84">
        <v>0.99922450562233422</v>
      </c>
      <c r="I14" s="84"/>
      <c r="J14" s="78" t="str">
        <f t="shared" si="0"/>
        <v>▼</v>
      </c>
      <c r="K14" s="84"/>
      <c r="L14" s="84"/>
      <c r="M14" s="84"/>
      <c r="N14" s="84"/>
      <c r="O14" s="84"/>
      <c r="P14" s="84"/>
      <c r="Q14" s="84"/>
      <c r="R14" s="84"/>
    </row>
    <row r="15" spans="1:18" ht="12.95" customHeight="1" x14ac:dyDescent="0.2">
      <c r="A15" s="339"/>
      <c r="B15" s="339"/>
      <c r="C15" s="22" t="s">
        <v>149</v>
      </c>
      <c r="D15" s="23">
        <v>10</v>
      </c>
      <c r="E15" s="22" t="s">
        <v>192</v>
      </c>
      <c r="F15" s="25">
        <v>0.95</v>
      </c>
      <c r="G15" s="82"/>
      <c r="H15" s="79">
        <v>0.99787234042553197</v>
      </c>
      <c r="I15" s="79"/>
      <c r="J15" s="78" t="str">
        <f t="shared" si="0"/>
        <v>▼</v>
      </c>
      <c r="K15" s="79"/>
      <c r="L15" s="79"/>
      <c r="M15" s="79"/>
      <c r="N15" s="79"/>
      <c r="O15" s="79"/>
      <c r="P15" s="79"/>
      <c r="Q15" s="79"/>
      <c r="R15" s="79"/>
    </row>
    <row r="16" spans="1:18" ht="12.95" customHeight="1" x14ac:dyDescent="0.2">
      <c r="A16" s="339"/>
      <c r="B16" s="339"/>
      <c r="C16" s="22" t="s">
        <v>150</v>
      </c>
      <c r="D16" s="23">
        <v>11</v>
      </c>
      <c r="E16" s="22" t="s">
        <v>192</v>
      </c>
      <c r="F16" s="25">
        <v>1</v>
      </c>
      <c r="G16" s="83"/>
      <c r="H16" s="79">
        <v>0.99787234042553197</v>
      </c>
      <c r="I16" s="79"/>
      <c r="J16" s="78" t="str">
        <f t="shared" si="0"/>
        <v>▼</v>
      </c>
      <c r="K16" s="79"/>
      <c r="L16" s="79"/>
      <c r="M16" s="79"/>
      <c r="N16" s="79"/>
      <c r="O16" s="79"/>
      <c r="P16" s="79"/>
      <c r="Q16" s="79"/>
      <c r="R16" s="79"/>
    </row>
    <row r="17" spans="1:18" ht="12.95" customHeight="1" x14ac:dyDescent="0.2">
      <c r="A17" s="339"/>
      <c r="B17" s="339"/>
      <c r="C17" s="22" t="s">
        <v>151</v>
      </c>
      <c r="D17" s="23">
        <v>12</v>
      </c>
      <c r="E17" s="22" t="s">
        <v>192</v>
      </c>
      <c r="F17" s="25">
        <v>0.95</v>
      </c>
      <c r="G17" s="82"/>
      <c r="H17" s="82">
        <v>0.99885757806549891</v>
      </c>
      <c r="I17" s="82"/>
      <c r="J17" s="75" t="str">
        <f t="shared" si="0"/>
        <v>▼</v>
      </c>
      <c r="K17" s="82"/>
      <c r="L17" s="82"/>
      <c r="M17" s="82"/>
      <c r="N17" s="82"/>
      <c r="O17" s="82"/>
      <c r="P17" s="82"/>
      <c r="Q17" s="82"/>
      <c r="R17" s="82"/>
    </row>
    <row r="18" spans="1:18" ht="12.95" customHeight="1" x14ac:dyDescent="0.2">
      <c r="A18" s="339"/>
      <c r="B18" s="339"/>
      <c r="C18" s="22" t="s">
        <v>152</v>
      </c>
      <c r="D18" s="23">
        <v>13</v>
      </c>
      <c r="E18" s="22" t="s">
        <v>192</v>
      </c>
      <c r="F18" s="25">
        <v>1</v>
      </c>
      <c r="G18" s="82"/>
      <c r="H18" s="82">
        <v>0.99923838537699927</v>
      </c>
      <c r="I18" s="82"/>
      <c r="J18" s="78" t="str">
        <f t="shared" si="0"/>
        <v>▼</v>
      </c>
      <c r="K18" s="82"/>
      <c r="L18" s="82"/>
      <c r="M18" s="82"/>
      <c r="N18" s="82"/>
      <c r="O18" s="82"/>
      <c r="P18" s="82"/>
      <c r="Q18" s="82"/>
      <c r="R18" s="82"/>
    </row>
    <row r="19" spans="1:18" ht="12.95" customHeight="1" x14ac:dyDescent="0.2">
      <c r="A19" s="42"/>
      <c r="B19" s="42"/>
      <c r="C19" s="22"/>
      <c r="D19" s="23"/>
      <c r="E19" s="22"/>
      <c r="F19" s="66" t="s">
        <v>193</v>
      </c>
      <c r="G19" s="58">
        <v>9</v>
      </c>
      <c r="H19" s="58">
        <v>9</v>
      </c>
      <c r="I19" s="58">
        <v>9</v>
      </c>
      <c r="J19" s="87"/>
      <c r="K19" s="58">
        <v>13</v>
      </c>
      <c r="L19" s="58">
        <v>8</v>
      </c>
      <c r="M19" s="58">
        <v>13</v>
      </c>
      <c r="N19" s="58">
        <v>13</v>
      </c>
      <c r="O19" s="58">
        <v>7</v>
      </c>
      <c r="P19" s="58">
        <v>12</v>
      </c>
      <c r="Q19" s="58">
        <v>13</v>
      </c>
      <c r="R19" s="58">
        <v>13</v>
      </c>
    </row>
    <row r="20" spans="1:18" ht="12.95" customHeight="1" x14ac:dyDescent="0.2">
      <c r="A20" s="339" t="s">
        <v>194</v>
      </c>
      <c r="B20" s="42" t="s">
        <v>195</v>
      </c>
      <c r="C20" s="26" t="s">
        <v>196</v>
      </c>
      <c r="D20" s="23">
        <v>14</v>
      </c>
      <c r="E20" s="27" t="s">
        <v>197</v>
      </c>
      <c r="F20" s="25" t="s">
        <v>198</v>
      </c>
      <c r="G20" s="28"/>
      <c r="H20" s="28">
        <v>2.3333333333333335</v>
      </c>
      <c r="I20" s="28"/>
      <c r="J20" s="65" t="str">
        <f>IF(H20=I20,"=",(IF(H20&gt;I20,"▲","▼")))</f>
        <v>▲</v>
      </c>
      <c r="K20" s="28"/>
      <c r="L20" s="28"/>
      <c r="M20" s="28"/>
      <c r="N20" s="28"/>
      <c r="O20" s="28"/>
      <c r="P20" s="28"/>
      <c r="Q20" s="28"/>
      <c r="R20" s="28"/>
    </row>
    <row r="21" spans="1:18" ht="12.95" customHeight="1" x14ac:dyDescent="0.2">
      <c r="A21" s="339"/>
      <c r="B21" s="42" t="s">
        <v>195</v>
      </c>
      <c r="C21" s="26" t="s">
        <v>199</v>
      </c>
      <c r="D21" s="23">
        <v>15</v>
      </c>
      <c r="E21" s="26" t="s">
        <v>200</v>
      </c>
      <c r="F21" s="29" t="s">
        <v>201</v>
      </c>
      <c r="G21" s="76"/>
      <c r="H21" s="28">
        <v>1.7</v>
      </c>
      <c r="I21" s="28"/>
      <c r="J21" s="88" t="str">
        <f>IF(H21=I21,"=",(IF(H21&gt;I21,"▲","▼")))</f>
        <v>▲</v>
      </c>
      <c r="K21" s="28"/>
      <c r="L21" s="28"/>
      <c r="M21" s="28"/>
      <c r="N21" s="28"/>
      <c r="O21" s="28"/>
      <c r="P21" s="28"/>
      <c r="Q21" s="28"/>
      <c r="R21" s="28"/>
    </row>
    <row r="22" spans="1:18" ht="12.95" customHeight="1" x14ac:dyDescent="0.2">
      <c r="A22" s="339"/>
      <c r="B22" s="42" t="s">
        <v>195</v>
      </c>
      <c r="C22" s="26" t="s">
        <v>202</v>
      </c>
      <c r="D22" s="23">
        <v>16</v>
      </c>
      <c r="E22" s="26" t="s">
        <v>203</v>
      </c>
      <c r="F22" s="20" t="s">
        <v>204</v>
      </c>
      <c r="G22" s="76"/>
      <c r="H22" s="28">
        <v>2.4666666666666668</v>
      </c>
      <c r="I22" s="28"/>
      <c r="J22" s="29" t="str">
        <f>IF(H22=I22,"=",(IF(H22&gt;I22,"▲","▼")))</f>
        <v>▲</v>
      </c>
      <c r="K22" s="28"/>
      <c r="L22" s="28"/>
      <c r="M22" s="28"/>
      <c r="N22" s="28"/>
      <c r="O22" s="28"/>
      <c r="P22" s="28"/>
      <c r="Q22" s="28"/>
      <c r="R22" s="28"/>
    </row>
    <row r="23" spans="1:18" ht="12.95" customHeight="1" x14ac:dyDescent="0.2">
      <c r="A23" s="339"/>
      <c r="B23" s="42" t="s">
        <v>205</v>
      </c>
      <c r="C23" s="30" t="s">
        <v>206</v>
      </c>
      <c r="D23" s="23">
        <v>17</v>
      </c>
      <c r="E23" s="30" t="s">
        <v>207</v>
      </c>
      <c r="F23" s="31">
        <v>0.99</v>
      </c>
      <c r="G23" s="86"/>
      <c r="H23" s="33">
        <v>0.999</v>
      </c>
      <c r="I23" s="33"/>
      <c r="J23" s="65" t="str">
        <f t="shared" si="0"/>
        <v>▼</v>
      </c>
      <c r="K23" s="33"/>
      <c r="L23" s="33"/>
      <c r="M23" s="33"/>
      <c r="N23" s="33"/>
      <c r="O23" s="33"/>
      <c r="P23" s="33"/>
      <c r="Q23" s="33"/>
      <c r="R23" s="33"/>
    </row>
    <row r="24" spans="1:18" ht="12.95" customHeight="1" x14ac:dyDescent="0.2">
      <c r="A24" s="339"/>
      <c r="B24" s="42" t="s">
        <v>205</v>
      </c>
      <c r="C24" s="30" t="s">
        <v>208</v>
      </c>
      <c r="D24" s="23">
        <v>18</v>
      </c>
      <c r="E24" s="30" t="s">
        <v>209</v>
      </c>
      <c r="F24" s="85" t="s">
        <v>210</v>
      </c>
      <c r="G24" s="52"/>
      <c r="H24" s="52">
        <v>0.86299999999999999</v>
      </c>
      <c r="I24" s="52"/>
      <c r="J24" s="88" t="str">
        <f t="shared" si="0"/>
        <v>▼</v>
      </c>
      <c r="K24" s="52"/>
      <c r="L24" s="52"/>
      <c r="M24" s="52"/>
      <c r="N24" s="52"/>
      <c r="O24" s="52"/>
      <c r="P24" s="52"/>
      <c r="Q24" s="52"/>
      <c r="R24" s="52"/>
    </row>
    <row r="25" spans="1:18" ht="12.95" customHeight="1" x14ac:dyDescent="0.2">
      <c r="A25" s="339"/>
      <c r="B25" s="42"/>
      <c r="C25" s="30"/>
      <c r="D25" s="23"/>
      <c r="E25" s="30"/>
      <c r="F25" s="66" t="s">
        <v>193</v>
      </c>
      <c r="G25" s="59">
        <v>3</v>
      </c>
      <c r="H25" s="59">
        <v>4</v>
      </c>
      <c r="I25" s="59">
        <v>4</v>
      </c>
      <c r="J25" s="29"/>
      <c r="K25" s="59">
        <v>3</v>
      </c>
      <c r="L25" s="59">
        <v>4</v>
      </c>
      <c r="M25" s="59">
        <v>4</v>
      </c>
      <c r="N25" s="59">
        <v>3</v>
      </c>
      <c r="O25" s="59">
        <v>3</v>
      </c>
      <c r="P25" s="59">
        <v>4</v>
      </c>
      <c r="Q25" s="59">
        <v>4</v>
      </c>
      <c r="R25" s="59">
        <v>4</v>
      </c>
    </row>
    <row r="26" spans="1:18" ht="12.95" customHeight="1" x14ac:dyDescent="0.2">
      <c r="A26" s="339" t="s">
        <v>211</v>
      </c>
      <c r="B26" s="42" t="s">
        <v>195</v>
      </c>
      <c r="C26" s="30" t="s">
        <v>212</v>
      </c>
      <c r="D26" s="23">
        <v>19</v>
      </c>
      <c r="E26" s="30" t="s">
        <v>213</v>
      </c>
      <c r="F26" s="63" t="s">
        <v>214</v>
      </c>
      <c r="G26" s="73"/>
      <c r="H26" s="32">
        <v>99.033333333333346</v>
      </c>
      <c r="I26" s="32"/>
      <c r="J26" s="65" t="str">
        <f t="shared" ref="J26:J30" si="1">IF(H26=I26,"=",(IF(H26&lt;I26,"▲","▼")))</f>
        <v>▼</v>
      </c>
      <c r="K26" s="32"/>
      <c r="L26" s="32"/>
      <c r="M26" s="32"/>
      <c r="N26" s="32"/>
      <c r="O26" s="32"/>
      <c r="P26" s="32"/>
      <c r="Q26" s="32"/>
      <c r="R26" s="32"/>
    </row>
    <row r="27" spans="1:18" ht="12.95" customHeight="1" x14ac:dyDescent="0.2">
      <c r="A27" s="339"/>
      <c r="B27" s="42" t="s">
        <v>195</v>
      </c>
      <c r="C27" s="26" t="s">
        <v>215</v>
      </c>
      <c r="D27" s="23">
        <v>20</v>
      </c>
      <c r="E27" s="26" t="s">
        <v>216</v>
      </c>
      <c r="F27" s="63" t="s">
        <v>210</v>
      </c>
      <c r="G27" s="72"/>
      <c r="H27" s="60">
        <v>87.566666666666663</v>
      </c>
      <c r="I27" s="60"/>
      <c r="J27" s="65" t="str">
        <f t="shared" si="1"/>
        <v>▼</v>
      </c>
      <c r="K27" s="60"/>
      <c r="L27" s="60"/>
      <c r="M27" s="60"/>
      <c r="N27" s="60"/>
      <c r="O27" s="60"/>
      <c r="P27" s="60"/>
      <c r="Q27" s="60"/>
      <c r="R27" s="60"/>
    </row>
    <row r="28" spans="1:18" ht="12.95" customHeight="1" x14ac:dyDescent="0.2">
      <c r="A28" s="339"/>
      <c r="B28" s="42" t="s">
        <v>205</v>
      </c>
      <c r="C28" s="30" t="s">
        <v>217</v>
      </c>
      <c r="D28" s="23">
        <v>21</v>
      </c>
      <c r="E28" s="30" t="s">
        <v>218</v>
      </c>
      <c r="F28" s="63" t="s">
        <v>219</v>
      </c>
      <c r="G28" s="77"/>
      <c r="H28" s="36">
        <v>0.7389</v>
      </c>
      <c r="I28" s="77"/>
      <c r="J28" s="29" t="str">
        <f t="shared" si="1"/>
        <v>▼</v>
      </c>
      <c r="K28" s="77"/>
      <c r="L28" s="77"/>
      <c r="M28" s="77"/>
      <c r="N28" s="77"/>
      <c r="O28" s="77"/>
      <c r="P28" s="77"/>
      <c r="Q28" s="77"/>
      <c r="R28" s="77"/>
    </row>
    <row r="29" spans="1:18" ht="12.95" customHeight="1" x14ac:dyDescent="0.2">
      <c r="A29" s="339"/>
      <c r="B29" s="42" t="s">
        <v>205</v>
      </c>
      <c r="C29" s="30" t="s">
        <v>220</v>
      </c>
      <c r="D29" s="23">
        <v>22</v>
      </c>
      <c r="E29" s="30" t="s">
        <v>221</v>
      </c>
      <c r="F29" s="85" t="s">
        <v>222</v>
      </c>
      <c r="G29" s="36"/>
      <c r="H29" s="36">
        <v>0.73019999999999996</v>
      </c>
      <c r="I29" s="36"/>
      <c r="J29" s="29" t="str">
        <f t="shared" si="1"/>
        <v>▼</v>
      </c>
      <c r="K29" s="36"/>
      <c r="L29" s="36"/>
      <c r="M29" s="36"/>
      <c r="N29" s="36"/>
      <c r="O29" s="36"/>
      <c r="P29" s="36"/>
      <c r="Q29" s="36"/>
      <c r="R29" s="36"/>
    </row>
    <row r="30" spans="1:18" ht="12.95" customHeight="1" x14ac:dyDescent="0.2">
      <c r="A30" s="339"/>
      <c r="B30" s="42" t="s">
        <v>205</v>
      </c>
      <c r="C30" s="30" t="s">
        <v>223</v>
      </c>
      <c r="D30" s="23">
        <v>23</v>
      </c>
      <c r="E30" s="30" t="s">
        <v>224</v>
      </c>
      <c r="F30" s="63" t="s">
        <v>219</v>
      </c>
      <c r="G30" s="77"/>
      <c r="H30" s="36">
        <v>0.76670000000000005</v>
      </c>
      <c r="I30" s="77"/>
      <c r="J30" s="68" t="str">
        <f t="shared" si="1"/>
        <v>▼</v>
      </c>
      <c r="K30" s="77"/>
      <c r="L30" s="77"/>
      <c r="M30" s="77"/>
      <c r="N30" s="77"/>
      <c r="O30" s="77"/>
      <c r="P30" s="77"/>
      <c r="Q30" s="77"/>
      <c r="R30" s="77"/>
    </row>
    <row r="31" spans="1:18" ht="12.95" customHeight="1" x14ac:dyDescent="0.2">
      <c r="A31" s="339"/>
      <c r="B31" s="42"/>
      <c r="C31" s="30"/>
      <c r="D31" s="23"/>
      <c r="E31" s="30"/>
      <c r="F31" s="66" t="s">
        <v>193</v>
      </c>
      <c r="G31" s="61">
        <v>2</v>
      </c>
      <c r="H31" s="61">
        <v>3</v>
      </c>
      <c r="I31" s="61">
        <v>3</v>
      </c>
      <c r="J31" s="89"/>
      <c r="K31" s="61">
        <v>2</v>
      </c>
      <c r="L31" s="61">
        <v>2</v>
      </c>
      <c r="M31" s="61">
        <v>4</v>
      </c>
      <c r="N31" s="61">
        <v>2</v>
      </c>
      <c r="O31" s="61">
        <v>2</v>
      </c>
      <c r="P31" s="61">
        <v>3</v>
      </c>
      <c r="Q31" s="61">
        <v>3</v>
      </c>
      <c r="R31" s="61">
        <v>4</v>
      </c>
    </row>
    <row r="32" spans="1:18" ht="12.95" hidden="1" customHeight="1" x14ac:dyDescent="0.2">
      <c r="A32" s="339"/>
      <c r="B32" s="42" t="s">
        <v>205</v>
      </c>
      <c r="C32" s="26" t="s">
        <v>225</v>
      </c>
      <c r="D32" s="23">
        <v>28</v>
      </c>
      <c r="E32" s="26" t="s">
        <v>226</v>
      </c>
      <c r="F32" s="35" t="s">
        <v>227</v>
      </c>
      <c r="G32" s="36"/>
      <c r="H32" s="36"/>
      <c r="I32" s="36"/>
      <c r="J32" s="90"/>
      <c r="K32" s="36"/>
      <c r="L32" s="36"/>
      <c r="M32" s="36"/>
      <c r="N32" s="36"/>
      <c r="O32" s="36"/>
      <c r="P32" s="36"/>
      <c r="Q32" s="36"/>
      <c r="R32" s="36"/>
    </row>
    <row r="33" spans="1:18" ht="12.95" hidden="1" customHeight="1" x14ac:dyDescent="0.2">
      <c r="A33" s="339"/>
      <c r="B33" s="42" t="s">
        <v>205</v>
      </c>
      <c r="C33" s="37" t="s">
        <v>228</v>
      </c>
      <c r="D33" s="23">
        <v>29</v>
      </c>
      <c r="E33" s="37" t="s">
        <v>229</v>
      </c>
      <c r="F33" s="35" t="s">
        <v>227</v>
      </c>
      <c r="G33" s="36"/>
      <c r="H33" s="36"/>
      <c r="I33" s="36"/>
      <c r="J33" s="90"/>
      <c r="K33" s="36"/>
      <c r="L33" s="36"/>
      <c r="M33" s="36"/>
      <c r="N33" s="36"/>
      <c r="O33" s="36"/>
      <c r="P33" s="36"/>
      <c r="Q33" s="36"/>
      <c r="R33" s="36"/>
    </row>
    <row r="34" spans="1:18" ht="12.95" hidden="1" customHeight="1" x14ac:dyDescent="0.2">
      <c r="A34" s="339"/>
      <c r="B34" s="42" t="s">
        <v>205</v>
      </c>
      <c r="C34" s="38" t="s">
        <v>230</v>
      </c>
      <c r="D34" s="23">
        <v>30</v>
      </c>
      <c r="E34" s="38" t="s">
        <v>231</v>
      </c>
      <c r="F34" s="25">
        <v>1</v>
      </c>
      <c r="G34" s="39"/>
      <c r="H34" s="20"/>
      <c r="I34" s="20"/>
      <c r="J34" s="29"/>
      <c r="K34" s="40"/>
      <c r="L34" s="40"/>
      <c r="M34" s="40"/>
      <c r="N34" s="40"/>
      <c r="O34" s="40"/>
      <c r="P34" s="40"/>
      <c r="Q34" s="40"/>
      <c r="R34" s="40"/>
    </row>
    <row r="35" spans="1:18" ht="12.95" hidden="1" customHeight="1" x14ac:dyDescent="0.2">
      <c r="A35" s="339"/>
      <c r="B35" s="42" t="s">
        <v>205</v>
      </c>
      <c r="C35" s="27" t="s">
        <v>232</v>
      </c>
      <c r="D35" s="23">
        <v>31</v>
      </c>
      <c r="E35" s="26" t="s">
        <v>233</v>
      </c>
      <c r="F35" s="31">
        <v>0.8</v>
      </c>
      <c r="G35" s="41"/>
      <c r="H35" s="48"/>
      <c r="I35" s="48"/>
      <c r="J35" s="91"/>
      <c r="K35" s="41"/>
      <c r="L35" s="41"/>
      <c r="M35" s="41"/>
      <c r="N35" s="41"/>
      <c r="O35" s="41"/>
      <c r="P35" s="41"/>
      <c r="Q35" s="41"/>
      <c r="R35" s="41"/>
    </row>
    <row r="36" spans="1:18" ht="12.95" hidden="1" customHeight="1" x14ac:dyDescent="0.2">
      <c r="A36" s="339"/>
      <c r="B36" s="42" t="s">
        <v>205</v>
      </c>
      <c r="C36" s="27" t="s">
        <v>234</v>
      </c>
      <c r="D36" s="23">
        <v>32</v>
      </c>
      <c r="E36" s="26" t="s">
        <v>235</v>
      </c>
      <c r="F36" s="31">
        <v>0.95</v>
      </c>
      <c r="G36" s="41"/>
      <c r="H36" s="41"/>
      <c r="I36" s="41"/>
      <c r="J36" s="92"/>
      <c r="K36" s="41"/>
      <c r="L36" s="41"/>
      <c r="M36" s="41"/>
      <c r="N36" s="41"/>
      <c r="O36" s="41"/>
      <c r="P36" s="41"/>
      <c r="Q36" s="41"/>
      <c r="R36" s="41"/>
    </row>
    <row r="37" spans="1:18" ht="12.95" hidden="1" customHeight="1" x14ac:dyDescent="0.2">
      <c r="A37" s="339" t="s">
        <v>89</v>
      </c>
      <c r="B37" s="42" t="s">
        <v>190</v>
      </c>
      <c r="C37" s="26" t="s">
        <v>236</v>
      </c>
      <c r="D37" s="23">
        <v>33</v>
      </c>
      <c r="E37" s="26" t="s">
        <v>237</v>
      </c>
      <c r="F37" s="35">
        <v>0.8</v>
      </c>
      <c r="G37" s="43"/>
      <c r="H37" s="49"/>
      <c r="I37" s="49"/>
      <c r="J37" s="93"/>
      <c r="K37" s="49"/>
      <c r="L37" s="49"/>
      <c r="M37" s="49"/>
      <c r="N37" s="49"/>
      <c r="O37" s="49"/>
      <c r="P37" s="49"/>
      <c r="Q37" s="49"/>
      <c r="R37" s="49"/>
    </row>
    <row r="38" spans="1:18" ht="12.95" hidden="1" customHeight="1" x14ac:dyDescent="0.2">
      <c r="A38" s="339"/>
      <c r="B38" s="42" t="s">
        <v>238</v>
      </c>
      <c r="C38" s="30" t="s">
        <v>239</v>
      </c>
      <c r="D38" s="23">
        <v>34</v>
      </c>
      <c r="E38" s="34" t="s">
        <v>240</v>
      </c>
      <c r="F38" s="35">
        <v>0.7</v>
      </c>
      <c r="G38" s="44"/>
      <c r="H38" s="36"/>
      <c r="I38" s="36"/>
      <c r="J38" s="90"/>
      <c r="K38" s="36"/>
      <c r="L38" s="36"/>
      <c r="M38" s="36"/>
      <c r="N38" s="36"/>
      <c r="O38" s="36"/>
      <c r="P38" s="36"/>
      <c r="Q38" s="36"/>
      <c r="R38" s="36"/>
    </row>
    <row r="39" spans="1:18" ht="12.95" hidden="1" customHeight="1" x14ac:dyDescent="0.2">
      <c r="A39" s="339"/>
      <c r="B39" s="42" t="s">
        <v>238</v>
      </c>
      <c r="C39" s="30" t="s">
        <v>241</v>
      </c>
      <c r="D39" s="23">
        <v>35</v>
      </c>
      <c r="E39" s="34" t="s">
        <v>240</v>
      </c>
      <c r="F39" s="35">
        <v>0.7</v>
      </c>
      <c r="G39" s="36"/>
      <c r="H39" s="36"/>
      <c r="I39" s="36"/>
      <c r="J39" s="90"/>
      <c r="K39" s="36"/>
      <c r="L39" s="36"/>
      <c r="M39" s="36"/>
      <c r="N39" s="36"/>
      <c r="O39" s="44"/>
      <c r="P39" s="36"/>
      <c r="Q39" s="44"/>
      <c r="R39" s="36"/>
    </row>
    <row r="40" spans="1:18" ht="12.95" hidden="1" customHeight="1" x14ac:dyDescent="0.2">
      <c r="A40" s="20" t="s">
        <v>242</v>
      </c>
      <c r="B40" s="42" t="s">
        <v>205</v>
      </c>
      <c r="C40" s="37" t="s">
        <v>243</v>
      </c>
      <c r="D40" s="23">
        <v>36</v>
      </c>
      <c r="E40" s="37"/>
      <c r="F40" s="35">
        <v>0.9</v>
      </c>
      <c r="G40" s="44"/>
      <c r="H40" s="44"/>
      <c r="I40" s="44"/>
      <c r="J40" s="94"/>
      <c r="K40" s="44"/>
      <c r="L40" s="44"/>
      <c r="M40" s="44"/>
      <c r="N40" s="44"/>
      <c r="O40" s="44"/>
      <c r="P40" s="44"/>
      <c r="Q40" s="44"/>
      <c r="R40" s="44"/>
    </row>
    <row r="41" spans="1:18" ht="12.95" hidden="1" customHeight="1" x14ac:dyDescent="0.2">
      <c r="A41" s="339" t="s">
        <v>83</v>
      </c>
      <c r="B41" s="339" t="s">
        <v>244</v>
      </c>
      <c r="C41" s="26" t="s">
        <v>245</v>
      </c>
      <c r="D41" s="23">
        <v>37</v>
      </c>
      <c r="E41" s="26"/>
      <c r="F41" s="35">
        <v>0.73</v>
      </c>
      <c r="G41" s="51"/>
      <c r="H41" s="50"/>
      <c r="I41" s="50"/>
      <c r="J41" s="95"/>
      <c r="K41" s="50"/>
      <c r="L41" s="50"/>
      <c r="M41" s="50"/>
      <c r="N41" s="50"/>
      <c r="O41" s="50"/>
      <c r="P41" s="50"/>
      <c r="Q41" s="50"/>
      <c r="R41" s="50"/>
    </row>
    <row r="42" spans="1:18" ht="12.95" customHeight="1" x14ac:dyDescent="0.2">
      <c r="A42" s="339"/>
      <c r="B42" s="339"/>
      <c r="C42" s="26" t="s">
        <v>246</v>
      </c>
      <c r="D42" s="23">
        <v>24</v>
      </c>
      <c r="E42" s="26"/>
      <c r="F42" s="25">
        <v>0.79</v>
      </c>
      <c r="G42" s="50"/>
      <c r="H42" s="50">
        <v>0.85752688172043012</v>
      </c>
      <c r="I42" s="50"/>
      <c r="J42" s="68" t="str">
        <f t="shared" ref="J42:J43" si="2">IF(H42=I42,"=",(IF(H42&lt;I42,"▲","▼")))</f>
        <v>▼</v>
      </c>
      <c r="K42" s="50"/>
      <c r="L42" s="50"/>
      <c r="M42" s="50"/>
      <c r="N42" s="50"/>
      <c r="O42" s="50"/>
      <c r="P42" s="50"/>
      <c r="Q42" s="50"/>
      <c r="R42" s="50"/>
    </row>
    <row r="43" spans="1:18" ht="12.95" customHeight="1" x14ac:dyDescent="0.2">
      <c r="A43" s="339"/>
      <c r="B43" s="339"/>
      <c r="C43" s="26" t="s">
        <v>247</v>
      </c>
      <c r="D43" s="23">
        <v>25</v>
      </c>
      <c r="E43" s="26"/>
      <c r="F43" s="25">
        <v>0.67</v>
      </c>
      <c r="G43" s="50"/>
      <c r="H43" s="50">
        <v>0.74717430101130278</v>
      </c>
      <c r="I43" s="50"/>
      <c r="J43" s="29" t="str">
        <f t="shared" si="2"/>
        <v>▼</v>
      </c>
      <c r="K43" s="74"/>
      <c r="L43" s="50"/>
      <c r="M43" s="50"/>
      <c r="N43" s="74"/>
      <c r="O43" s="50"/>
      <c r="P43" s="50"/>
      <c r="Q43" s="50"/>
      <c r="R43" s="50"/>
    </row>
    <row r="44" spans="1:18" x14ac:dyDescent="0.2">
      <c r="F44" s="66" t="s">
        <v>193</v>
      </c>
      <c r="G44" s="59">
        <v>2</v>
      </c>
      <c r="H44" s="59">
        <v>2</v>
      </c>
      <c r="I44" s="59">
        <v>2</v>
      </c>
      <c r="J44" s="29"/>
      <c r="K44" s="59">
        <v>1</v>
      </c>
      <c r="L44" s="59">
        <v>2</v>
      </c>
      <c r="M44" s="59">
        <v>2</v>
      </c>
      <c r="N44" s="59">
        <v>1</v>
      </c>
      <c r="O44" s="59">
        <v>2</v>
      </c>
      <c r="P44" s="59">
        <v>2</v>
      </c>
      <c r="Q44" s="59">
        <v>2</v>
      </c>
      <c r="R44" s="59">
        <v>2</v>
      </c>
    </row>
    <row r="45" spans="1:18" x14ac:dyDescent="0.2">
      <c r="F45" s="67" t="s">
        <v>248</v>
      </c>
      <c r="G45" s="62">
        <f>SUM(G19,G25,G31,G44)</f>
        <v>16</v>
      </c>
      <c r="H45" s="62">
        <v>18</v>
      </c>
      <c r="I45" s="62">
        <f t="shared" ref="I45" si="3">SUM(I19,I25,I31,I44)</f>
        <v>18</v>
      </c>
      <c r="J45" s="29"/>
      <c r="K45" s="62">
        <f t="shared" ref="K45:R45" si="4">SUM(K19,K25,K31,K44)</f>
        <v>19</v>
      </c>
      <c r="L45" s="62">
        <f t="shared" si="4"/>
        <v>16</v>
      </c>
      <c r="M45" s="62">
        <f t="shared" si="4"/>
        <v>23</v>
      </c>
      <c r="N45" s="62">
        <f t="shared" si="4"/>
        <v>19</v>
      </c>
      <c r="O45" s="62">
        <f t="shared" si="4"/>
        <v>14</v>
      </c>
      <c r="P45" s="62">
        <f t="shared" si="4"/>
        <v>21</v>
      </c>
      <c r="Q45" s="62">
        <f t="shared" si="4"/>
        <v>22</v>
      </c>
      <c r="R45" s="62">
        <f t="shared" si="4"/>
        <v>23</v>
      </c>
    </row>
    <row r="52" spans="9:9" x14ac:dyDescent="0.2">
      <c r="I52" s="45" t="s">
        <v>249</v>
      </c>
    </row>
  </sheetData>
  <mergeCells count="12">
    <mergeCell ref="A41:A43"/>
    <mergeCell ref="B41:B43"/>
    <mergeCell ref="H3:M4"/>
    <mergeCell ref="N3:R4"/>
    <mergeCell ref="A20:A25"/>
    <mergeCell ref="A26:A36"/>
    <mergeCell ref="A37:A39"/>
    <mergeCell ref="A6:A18"/>
    <mergeCell ref="B6:B18"/>
    <mergeCell ref="A3:E4"/>
    <mergeCell ref="F3:F5"/>
    <mergeCell ref="G3:G5"/>
  </mergeCells>
  <conditionalFormatting sqref="G21">
    <cfRule type="cellIs" dxfId="279" priority="374" operator="greaterThan">
      <formula>4</formula>
    </cfRule>
    <cfRule type="cellIs" dxfId="278" priority="375" operator="lessThanOrEqual">
      <formula>4</formula>
    </cfRule>
  </conditionalFormatting>
  <conditionalFormatting sqref="G21:G22">
    <cfRule type="containsBlanks" dxfId="277" priority="368">
      <formula>LEN(TRIM(G21))=0</formula>
    </cfRule>
  </conditionalFormatting>
  <conditionalFormatting sqref="G22">
    <cfRule type="cellIs" dxfId="276" priority="371" operator="lessThanOrEqual">
      <formula>3</formula>
    </cfRule>
    <cfRule type="cellIs" dxfId="275" priority="370" operator="greaterThan">
      <formula>3</formula>
    </cfRule>
  </conditionalFormatting>
  <conditionalFormatting sqref="G23">
    <cfRule type="cellIs" dxfId="274" priority="366" operator="between">
      <formula>0.98</formula>
      <formula>0.99</formula>
    </cfRule>
    <cfRule type="cellIs" dxfId="273" priority="365" operator="lessThan">
      <formula>0.98</formula>
    </cfRule>
    <cfRule type="cellIs" dxfId="272" priority="367" operator="greaterThanOrEqual">
      <formula>0.99</formula>
    </cfRule>
  </conditionalFormatting>
  <conditionalFormatting sqref="G23:G24">
    <cfRule type="cellIs" dxfId="271" priority="360" operator="equal">
      <formula>"-"</formula>
    </cfRule>
  </conditionalFormatting>
  <conditionalFormatting sqref="G24">
    <cfRule type="cellIs" dxfId="270" priority="361" operator="lessThan">
      <formula>0.8</formula>
    </cfRule>
  </conditionalFormatting>
  <conditionalFormatting sqref="G26:G27">
    <cfRule type="containsBlanks" dxfId="269" priority="311">
      <formula>LEN(TRIM(G26))=0</formula>
    </cfRule>
  </conditionalFormatting>
  <conditionalFormatting sqref="G28">
    <cfRule type="cellIs" dxfId="268" priority="309" operator="between">
      <formula>0.65</formula>
      <formula>0.7</formula>
    </cfRule>
    <cfRule type="cellIs" dxfId="267" priority="307" operator="equal">
      <formula>"-"</formula>
    </cfRule>
    <cfRule type="cellIs" dxfId="266" priority="306" operator="greaterThanOrEqual">
      <formula>0.7</formula>
    </cfRule>
    <cfRule type="cellIs" dxfId="265" priority="304" operator="lessThan">
      <formula>0.6</formula>
    </cfRule>
    <cfRule type="cellIs" dxfId="264" priority="305" operator="between">
      <formula>0.6</formula>
      <formula>0.7</formula>
    </cfRule>
    <cfRule type="cellIs" dxfId="263" priority="310" operator="lessThan">
      <formula>0.65</formula>
    </cfRule>
  </conditionalFormatting>
  <conditionalFormatting sqref="G29">
    <cfRule type="cellIs" dxfId="262" priority="302" operator="greaterThanOrEqual">
      <formula>0.8</formula>
    </cfRule>
    <cfRule type="cellIs" dxfId="261" priority="301" operator="between">
      <formula>0.7</formula>
      <formula>0.8</formula>
    </cfRule>
    <cfRule type="cellIs" dxfId="260" priority="300" operator="lessThan">
      <formula>0.7</formula>
    </cfRule>
  </conditionalFormatting>
  <conditionalFormatting sqref="G30">
    <cfRule type="cellIs" dxfId="259" priority="298" operator="greaterThanOrEqual">
      <formula>0.7</formula>
    </cfRule>
    <cfRule type="cellIs" dxfId="258" priority="296" operator="lessThan">
      <formula>0.6</formula>
    </cfRule>
    <cfRule type="cellIs" dxfId="257" priority="297" operator="between">
      <formula>0.6</formula>
      <formula>0.7</formula>
    </cfRule>
  </conditionalFormatting>
  <conditionalFormatting sqref="G32:G33">
    <cfRule type="cellIs" dxfId="256" priority="7433" operator="equal">
      <formula>"-"</formula>
    </cfRule>
    <cfRule type="cellIs" dxfId="255" priority="7436" operator="lessThan">
      <formula>0.05</formula>
    </cfRule>
  </conditionalFormatting>
  <conditionalFormatting sqref="G36">
    <cfRule type="cellIs" dxfId="254" priority="7445" operator="equal">
      <formula>"-"</formula>
    </cfRule>
    <cfRule type="cellIs" dxfId="253" priority="7448" operator="lessThan">
      <formula>0.8</formula>
    </cfRule>
  </conditionalFormatting>
  <conditionalFormatting sqref="G37">
    <cfRule type="cellIs" dxfId="252" priority="7516" operator="greaterThanOrEqual">
      <formula>0.8</formula>
    </cfRule>
    <cfRule type="cellIs" dxfId="251" priority="7515" operator="lessThan">
      <formula>0.8</formula>
    </cfRule>
    <cfRule type="cellIs" dxfId="250" priority="7514" operator="equal">
      <formula>"-"</formula>
    </cfRule>
  </conditionalFormatting>
  <conditionalFormatting sqref="G37:G43">
    <cfRule type="containsBlanks" dxfId="249" priority="224">
      <formula>LEN(TRIM(G37))=0</formula>
    </cfRule>
  </conditionalFormatting>
  <conditionalFormatting sqref="G38:G39">
    <cfRule type="cellIs" dxfId="248" priority="7518" operator="lessThanOrEqual">
      <formula>0.7</formula>
    </cfRule>
    <cfRule type="cellIs" dxfId="247" priority="7519" operator="greaterThanOrEqual">
      <formula>0.7</formula>
    </cfRule>
  </conditionalFormatting>
  <conditionalFormatting sqref="G41">
    <cfRule type="cellIs" dxfId="246" priority="7472" operator="greaterThanOrEqual">
      <formula>0.73</formula>
    </cfRule>
    <cfRule type="cellIs" dxfId="245" priority="7470" operator="equal">
      <formula>"-"</formula>
    </cfRule>
    <cfRule type="cellIs" dxfId="244" priority="7471" operator="lessThan">
      <formula>0.73</formula>
    </cfRule>
  </conditionalFormatting>
  <conditionalFormatting sqref="G42">
    <cfRule type="cellIs" dxfId="243" priority="229" operator="lessThan">
      <formula>0.79</formula>
    </cfRule>
    <cfRule type="cellIs" dxfId="242" priority="231" operator="greaterThanOrEqual">
      <formula>0.79</formula>
    </cfRule>
    <cfRule type="cellIs" dxfId="241" priority="230" operator="equal">
      <formula>"-"</formula>
    </cfRule>
  </conditionalFormatting>
  <conditionalFormatting sqref="G43">
    <cfRule type="cellIs" dxfId="240" priority="225" operator="lessThan">
      <formula>0.67</formula>
    </cfRule>
    <cfRule type="cellIs" dxfId="239" priority="226" operator="equal">
      <formula>"-"</formula>
    </cfRule>
    <cfRule type="cellIs" dxfId="238" priority="227" operator="greaterThanOrEqual">
      <formula>0.67</formula>
    </cfRule>
  </conditionalFormatting>
  <conditionalFormatting sqref="G27:H27">
    <cfRule type="cellIs" dxfId="237" priority="313" operator="lessThan">
      <formula>70</formula>
    </cfRule>
    <cfRule type="cellIs" dxfId="236" priority="314" operator="between">
      <formula>70</formula>
      <formula>89.9999999</formula>
    </cfRule>
    <cfRule type="cellIs" dxfId="235" priority="315" operator="greaterThanOrEqual">
      <formula>90</formula>
    </cfRule>
  </conditionalFormatting>
  <conditionalFormatting sqref="G6:I6">
    <cfRule type="cellIs" dxfId="234" priority="112" operator="greaterThanOrEqual">
      <formula>0.8</formula>
    </cfRule>
    <cfRule type="cellIs" dxfId="233" priority="111" operator="lessThan">
      <formula>0.8</formula>
    </cfRule>
  </conditionalFormatting>
  <conditionalFormatting sqref="G6:I7">
    <cfRule type="cellIs" dxfId="232" priority="106" operator="equal">
      <formula>"-"</formula>
    </cfRule>
  </conditionalFormatting>
  <conditionalFormatting sqref="G6:I8">
    <cfRule type="cellIs" dxfId="231" priority="102" operator="greaterThan">
      <formula>1</formula>
    </cfRule>
  </conditionalFormatting>
  <conditionalFormatting sqref="G7:I7">
    <cfRule type="cellIs" dxfId="230" priority="107" operator="lessThan">
      <formula>0.9</formula>
    </cfRule>
    <cfRule type="cellIs" dxfId="229" priority="108" operator="greaterThanOrEqual">
      <formula>0.9</formula>
    </cfRule>
  </conditionalFormatting>
  <conditionalFormatting sqref="G8:I8">
    <cfRule type="cellIs" dxfId="228" priority="104" operator="equal">
      <formula>1</formula>
    </cfRule>
    <cfRule type="cellIs" dxfId="227" priority="103" operator="lessThan">
      <formula>1</formula>
    </cfRule>
  </conditionalFormatting>
  <conditionalFormatting sqref="G9:I9">
    <cfRule type="cellIs" dxfId="226" priority="99" operator="equal">
      <formula>"-"</formula>
    </cfRule>
    <cfRule type="cellIs" dxfId="225" priority="100" operator="greaterThanOrEqual">
      <formula>0.95</formula>
    </cfRule>
    <cfRule type="cellIs" dxfId="224" priority="101" operator="lessThan">
      <formula>0.95</formula>
    </cfRule>
  </conditionalFormatting>
  <conditionalFormatting sqref="G10:I10">
    <cfRule type="cellIs" dxfId="223" priority="98" operator="lessThan">
      <formula>1</formula>
    </cfRule>
    <cfRule type="cellIs" dxfId="222" priority="97" operator="equal">
      <formula>1</formula>
    </cfRule>
    <cfRule type="cellIs" dxfId="221" priority="96" operator="greaterThan">
      <formula>1</formula>
    </cfRule>
  </conditionalFormatting>
  <conditionalFormatting sqref="G11:I11">
    <cfRule type="cellIs" dxfId="220" priority="95" operator="lessThan">
      <formula>0.95</formula>
    </cfRule>
    <cfRule type="cellIs" dxfId="219" priority="94" operator="greaterThanOrEqual">
      <formula>0.95</formula>
    </cfRule>
    <cfRule type="cellIs" dxfId="218" priority="93" operator="equal">
      <formula>"-"</formula>
    </cfRule>
  </conditionalFormatting>
  <conditionalFormatting sqref="G12:I12">
    <cfRule type="cellIs" dxfId="217" priority="92" operator="lessThan">
      <formula>1</formula>
    </cfRule>
    <cfRule type="cellIs" dxfId="216" priority="91" operator="equal">
      <formula>1</formula>
    </cfRule>
    <cfRule type="cellIs" dxfId="215" priority="90" operator="greaterThan">
      <formula>1</formula>
    </cfRule>
  </conditionalFormatting>
  <conditionalFormatting sqref="G13:I13">
    <cfRule type="cellIs" dxfId="214" priority="88" operator="lessThan">
      <formula>0.8</formula>
    </cfRule>
    <cfRule type="cellIs" dxfId="213" priority="87" operator="equal">
      <formula>"-"</formula>
    </cfRule>
    <cfRule type="cellIs" dxfId="212" priority="89" operator="greaterThan">
      <formula>0.8</formula>
    </cfRule>
  </conditionalFormatting>
  <conditionalFormatting sqref="G14:I14">
    <cfRule type="cellIs" dxfId="211" priority="84" operator="equal">
      <formula>"-"</formula>
    </cfRule>
    <cfRule type="cellIs" dxfId="210" priority="85" operator="lessThan">
      <formula>0.9</formula>
    </cfRule>
    <cfRule type="cellIs" dxfId="209" priority="86" operator="greaterThanOrEqual">
      <formula>0.9</formula>
    </cfRule>
  </conditionalFormatting>
  <conditionalFormatting sqref="G15:I15">
    <cfRule type="cellIs" dxfId="208" priority="81" operator="equal">
      <formula>"-"</formula>
    </cfRule>
    <cfRule type="cellIs" dxfId="207" priority="82" operator="greaterThanOrEqual">
      <formula>0.95</formula>
    </cfRule>
    <cfRule type="cellIs" dxfId="206" priority="83" operator="lessThan">
      <formula>0.95</formula>
    </cfRule>
  </conditionalFormatting>
  <conditionalFormatting sqref="G16:I16">
    <cfRule type="cellIs" dxfId="205" priority="79" operator="equal">
      <formula>1</formula>
    </cfRule>
    <cfRule type="cellIs" dxfId="204" priority="80" operator="lessThan">
      <formula>1</formula>
    </cfRule>
    <cfRule type="cellIs" dxfId="203" priority="78" operator="greaterThan">
      <formula>1</formula>
    </cfRule>
  </conditionalFormatting>
  <conditionalFormatting sqref="G17:I17">
    <cfRule type="cellIs" dxfId="202" priority="77" operator="lessThan">
      <formula>0.95</formula>
    </cfRule>
    <cfRule type="cellIs" dxfId="201" priority="76" operator="greaterThanOrEqual">
      <formula>0.95</formula>
    </cfRule>
    <cfRule type="cellIs" dxfId="200" priority="75" operator="equal">
      <formula>"-"</formula>
    </cfRule>
  </conditionalFormatting>
  <conditionalFormatting sqref="G18:I18">
    <cfRule type="cellIs" dxfId="199" priority="74" operator="lessThan">
      <formula>1</formula>
    </cfRule>
    <cfRule type="cellIs" dxfId="198" priority="73" operator="equal">
      <formula>1</formula>
    </cfRule>
    <cfRule type="cellIs" dxfId="197" priority="72" operator="greaterThan">
      <formula>1</formula>
    </cfRule>
  </conditionalFormatting>
  <conditionalFormatting sqref="G20:I20">
    <cfRule type="cellIs" dxfId="196" priority="377" operator="equal">
      <formula>"-"</formula>
    </cfRule>
    <cfRule type="containsBlanks" dxfId="195" priority="376">
      <formula>LEN(TRIM(G20))=0</formula>
    </cfRule>
    <cfRule type="cellIs" dxfId="194" priority="378" operator="greaterThan">
      <formula>5</formula>
    </cfRule>
    <cfRule type="cellIs" dxfId="193" priority="379" operator="lessThanOrEqual">
      <formula>5</formula>
    </cfRule>
  </conditionalFormatting>
  <conditionalFormatting sqref="G21:I22">
    <cfRule type="cellIs" dxfId="192" priority="369" operator="equal">
      <formula>"-"</formula>
    </cfRule>
  </conditionalFormatting>
  <conditionalFormatting sqref="G24:I24">
    <cfRule type="cellIs" dxfId="191" priority="362" operator="between">
      <formula>0.8</formula>
      <formula>0.9</formula>
    </cfRule>
    <cfRule type="cellIs" dxfId="190" priority="363" operator="greaterThanOrEqual">
      <formula>0.9</formula>
    </cfRule>
  </conditionalFormatting>
  <conditionalFormatting sqref="G26:I26">
    <cfRule type="cellIs" dxfId="189" priority="294" operator="greaterThanOrEqual">
      <formula>99</formula>
    </cfRule>
    <cfRule type="cellIs" dxfId="188" priority="293" operator="lessThan">
      <formula>99</formula>
    </cfRule>
    <cfRule type="cellIs" dxfId="187" priority="292" operator="equal">
      <formula>"-"</formula>
    </cfRule>
  </conditionalFormatting>
  <conditionalFormatting sqref="G27:I27">
    <cfRule type="cellIs" dxfId="186" priority="287" operator="equal">
      <formula>"-"</formula>
    </cfRule>
  </conditionalFormatting>
  <conditionalFormatting sqref="G28:I30">
    <cfRule type="cellIs" dxfId="185" priority="274" operator="equal">
      <formula>"-"</formula>
    </cfRule>
  </conditionalFormatting>
  <conditionalFormatting sqref="G32:I33">
    <cfRule type="cellIs" dxfId="184" priority="496" operator="greaterThan">
      <formula>0.07</formula>
    </cfRule>
    <cfRule type="cellIs" dxfId="183" priority="497" operator="between">
      <formula>0.05</formula>
      <formula>0.07</formula>
    </cfRule>
  </conditionalFormatting>
  <conditionalFormatting sqref="G35:I35">
    <cfRule type="cellIs" dxfId="182" priority="481" operator="greaterThanOrEqual">
      <formula>0.8</formula>
    </cfRule>
    <cfRule type="cellIs" dxfId="181" priority="478" operator="equal">
      <formula>"-"</formula>
    </cfRule>
    <cfRule type="cellIs" dxfId="180" priority="479" operator="lessThan">
      <formula>0.75</formula>
    </cfRule>
    <cfRule type="cellIs" dxfId="179" priority="480" operator="between">
      <formula>0.75</formula>
      <formula>0.8</formula>
    </cfRule>
  </conditionalFormatting>
  <conditionalFormatting sqref="G36:I36">
    <cfRule type="cellIs" dxfId="178" priority="468" operator="greaterThanOrEqual">
      <formula>0.95</formula>
    </cfRule>
    <cfRule type="cellIs" dxfId="177" priority="469" operator="between">
      <formula>0.8</formula>
      <formula>0.95</formula>
    </cfRule>
  </conditionalFormatting>
  <conditionalFormatting sqref="G38:I38">
    <cfRule type="cellIs" dxfId="176" priority="491" operator="equal">
      <formula>"-"</formula>
    </cfRule>
  </conditionalFormatting>
  <conditionalFormatting sqref="G39:I39">
    <cfRule type="cellIs" dxfId="175" priority="488" operator="equal">
      <formula>"-"</formula>
    </cfRule>
  </conditionalFormatting>
  <conditionalFormatting sqref="G40:I40">
    <cfRule type="cellIs" dxfId="174" priority="484" operator="lessThan">
      <formula>0.9</formula>
    </cfRule>
    <cfRule type="cellIs" dxfId="173" priority="483" operator="equal">
      <formula>"-"</formula>
    </cfRule>
    <cfRule type="cellIs" dxfId="172" priority="485" operator="greaterThanOrEqual">
      <formula>0.9</formula>
    </cfRule>
  </conditionalFormatting>
  <conditionalFormatting sqref="H28:H30">
    <cfRule type="cellIs" dxfId="171" priority="462" operator="greaterThanOrEqual">
      <formula>0.7</formula>
    </cfRule>
    <cfRule type="cellIs" dxfId="170" priority="460" operator="lessThan">
      <formula>0.6</formula>
    </cfRule>
    <cfRule type="cellIs" dxfId="169" priority="461" operator="between">
      <formula>0.6</formula>
      <formula>0.7</formula>
    </cfRule>
  </conditionalFormatting>
  <conditionalFormatting sqref="H38">
    <cfRule type="cellIs" dxfId="168" priority="492" operator="lessThanOrEqual">
      <formula>0.7</formula>
    </cfRule>
    <cfRule type="cellIs" dxfId="167" priority="493" operator="greaterThanOrEqual">
      <formula>0.7</formula>
    </cfRule>
  </conditionalFormatting>
  <conditionalFormatting sqref="H39">
    <cfRule type="cellIs" dxfId="166" priority="489" operator="lessThanOrEqual">
      <formula>0.7</formula>
    </cfRule>
    <cfRule type="cellIs" dxfId="165" priority="490" operator="greaterThanOrEqual">
      <formula>0.7</formula>
    </cfRule>
  </conditionalFormatting>
  <conditionalFormatting sqref="H21:I21">
    <cfRule type="cellIs" dxfId="164" priority="439" operator="greaterThan">
      <formula>4</formula>
    </cfRule>
    <cfRule type="cellIs" dxfId="163" priority="440" operator="lessThanOrEqual">
      <formula>4</formula>
    </cfRule>
  </conditionalFormatting>
  <conditionalFormatting sqref="H21:I23">
    <cfRule type="containsBlanks" dxfId="162" priority="437">
      <formula>LEN(TRIM(H21))=0</formula>
    </cfRule>
  </conditionalFormatting>
  <conditionalFormatting sqref="H22:I22">
    <cfRule type="cellIs" dxfId="161" priority="444" operator="lessThanOrEqual">
      <formula>3</formula>
    </cfRule>
    <cfRule type="cellIs" dxfId="160" priority="443" operator="greaterThan">
      <formula>3</formula>
    </cfRule>
  </conditionalFormatting>
  <conditionalFormatting sqref="H23:I23">
    <cfRule type="cellIs" dxfId="159" priority="446" operator="equal">
      <formula>"-"</formula>
    </cfRule>
    <cfRule type="cellIs" dxfId="158" priority="447" operator="lessThan">
      <formula>0.98</formula>
    </cfRule>
    <cfRule type="cellIs" dxfId="157" priority="448" operator="between">
      <formula>0.98</formula>
      <formula>0.9899999999</formula>
    </cfRule>
    <cfRule type="cellIs" dxfId="156" priority="449" operator="greaterThanOrEqual">
      <formula>0.99</formula>
    </cfRule>
  </conditionalFormatting>
  <conditionalFormatting sqref="H24:I24">
    <cfRule type="cellIs" dxfId="155" priority="380" operator="equal">
      <formula>"-"</formula>
    </cfRule>
    <cfRule type="cellIs" dxfId="154" priority="381" operator="lessThan">
      <formula>0.8</formula>
    </cfRule>
  </conditionalFormatting>
  <conditionalFormatting sqref="H26:I27">
    <cfRule type="containsBlanks" dxfId="153" priority="286">
      <formula>LEN(TRIM(H26))=0</formula>
    </cfRule>
  </conditionalFormatting>
  <conditionalFormatting sqref="H32:I33">
    <cfRule type="containsBlanks" dxfId="152" priority="494">
      <formula>LEN(TRIM(H32))=0</formula>
    </cfRule>
    <cfRule type="cellIs" dxfId="151" priority="495" operator="equal">
      <formula>"-"</formula>
    </cfRule>
    <cfRule type="cellIs" dxfId="150" priority="498" operator="lessThan">
      <formula>0.05</formula>
    </cfRule>
  </conditionalFormatting>
  <conditionalFormatting sqref="H36:I37">
    <cfRule type="cellIs" dxfId="149" priority="470" operator="lessThan">
      <formula>0.8</formula>
    </cfRule>
    <cfRule type="cellIs" dxfId="148" priority="467" operator="equal">
      <formula>"-"</formula>
    </cfRule>
  </conditionalFormatting>
  <conditionalFormatting sqref="H37:I37">
    <cfRule type="cellIs" dxfId="147" priority="473" operator="greaterThan">
      <formula>0.8</formula>
    </cfRule>
  </conditionalFormatting>
  <conditionalFormatting sqref="H38:I43">
    <cfRule type="containsBlanks" dxfId="146" priority="216">
      <formula>LEN(TRIM(H38))=0</formula>
    </cfRule>
  </conditionalFormatting>
  <conditionalFormatting sqref="H41:I43">
    <cfRule type="cellIs" dxfId="145" priority="217" operator="lessThan">
      <formula>0.73</formula>
    </cfRule>
    <cfRule type="cellIs" dxfId="144" priority="218" operator="equal">
      <formula>"-"</formula>
    </cfRule>
    <cfRule type="cellIs" dxfId="143" priority="219" operator="greaterThanOrEqual">
      <formula>0.73</formula>
    </cfRule>
  </conditionalFormatting>
  <conditionalFormatting sqref="I27">
    <cfRule type="cellIs" dxfId="142" priority="288" operator="lessThan">
      <formula>70</formula>
    </cfRule>
    <cfRule type="cellIs" dxfId="141" priority="290" operator="greaterThanOrEqual">
      <formula>90</formula>
    </cfRule>
    <cfRule type="cellIs" dxfId="140" priority="289" operator="between">
      <formula>70</formula>
      <formula>89.9999999</formula>
    </cfRule>
  </conditionalFormatting>
  <conditionalFormatting sqref="I28">
    <cfRule type="cellIs" dxfId="139" priority="285" operator="greaterThanOrEqual">
      <formula>0.7</formula>
    </cfRule>
    <cfRule type="cellIs" dxfId="138" priority="284" operator="between">
      <formula>0.6</formula>
      <formula>0.7</formula>
    </cfRule>
    <cfRule type="cellIs" dxfId="137" priority="283" operator="lessThan">
      <formula>0.6</formula>
    </cfRule>
  </conditionalFormatting>
  <conditionalFormatting sqref="I29">
    <cfRule type="cellIs" dxfId="136" priority="280" operator="between">
      <formula>0.7</formula>
      <formula>0.8</formula>
    </cfRule>
    <cfRule type="cellIs" dxfId="135" priority="281" operator="greaterThanOrEqual">
      <formula>0.8</formula>
    </cfRule>
    <cfRule type="cellIs" dxfId="134" priority="279" operator="lessThan">
      <formula>0.7</formula>
    </cfRule>
  </conditionalFormatting>
  <conditionalFormatting sqref="I30">
    <cfRule type="cellIs" dxfId="133" priority="275" operator="lessThan">
      <formula>0.6</formula>
    </cfRule>
    <cfRule type="cellIs" dxfId="132" priority="276" operator="between">
      <formula>0.6</formula>
      <formula>0.7</formula>
    </cfRule>
    <cfRule type="cellIs" dxfId="131" priority="277" operator="greaterThanOrEqual">
      <formula>0.7</formula>
    </cfRule>
  </conditionalFormatting>
  <conditionalFormatting sqref="I38:I39 K38:N39 Q39:R39">
    <cfRule type="cellIs" dxfId="130" priority="7486" operator="greaterThanOrEqual">
      <formula>0.7</formula>
    </cfRule>
  </conditionalFormatting>
  <conditionalFormatting sqref="K42">
    <cfRule type="cellIs" dxfId="129" priority="215" operator="greaterThanOrEqual">
      <formula>0.8</formula>
    </cfRule>
    <cfRule type="cellIs" dxfId="128" priority="214" operator="equal">
      <formula>"-"</formula>
    </cfRule>
    <cfRule type="cellIs" dxfId="127" priority="213" operator="lessThan">
      <formula>0.8</formula>
    </cfRule>
  </conditionalFormatting>
  <conditionalFormatting sqref="K43">
    <cfRule type="cellIs" dxfId="126" priority="198" operator="lessThan">
      <formula>0.7</formula>
    </cfRule>
    <cfRule type="containsBlanks" dxfId="125" priority="196">
      <formula>LEN(TRIM(K43))=0</formula>
    </cfRule>
    <cfRule type="cellIs" dxfId="124" priority="197" operator="equal">
      <formula>"-"</formula>
    </cfRule>
    <cfRule type="cellIs" dxfId="123" priority="199" operator="greaterThanOrEqual">
      <formula>0.7</formula>
    </cfRule>
  </conditionalFormatting>
  <conditionalFormatting sqref="K38:N39 Q39:R39 I38:I39">
    <cfRule type="cellIs" dxfId="122" priority="7485" operator="lessThanOrEqual">
      <formula>0.7</formula>
    </cfRule>
  </conditionalFormatting>
  <conditionalFormatting sqref="K39:N39 Q39:R39">
    <cfRule type="cellIs" dxfId="121" priority="7484" operator="equal">
      <formula>"-"</formula>
    </cfRule>
  </conditionalFormatting>
  <conditionalFormatting sqref="K6:R6">
    <cfRule type="cellIs" dxfId="120" priority="71" operator="greaterThanOrEqual">
      <formula>0.8</formula>
    </cfRule>
    <cfRule type="cellIs" dxfId="119" priority="70" operator="lessThan">
      <formula>0.8</formula>
    </cfRule>
  </conditionalFormatting>
  <conditionalFormatting sqref="K6:R7">
    <cfRule type="cellIs" dxfId="118" priority="65" operator="equal">
      <formula>"-"</formula>
    </cfRule>
  </conditionalFormatting>
  <conditionalFormatting sqref="K6:R8">
    <cfRule type="cellIs" dxfId="117" priority="61" operator="greaterThan">
      <formula>1</formula>
    </cfRule>
  </conditionalFormatting>
  <conditionalFormatting sqref="K7:R7">
    <cfRule type="cellIs" dxfId="116" priority="66" operator="lessThan">
      <formula>0.9</formula>
    </cfRule>
    <cfRule type="cellIs" dxfId="115" priority="67" operator="greaterThanOrEqual">
      <formula>0.9</formula>
    </cfRule>
  </conditionalFormatting>
  <conditionalFormatting sqref="K8:R8">
    <cfRule type="cellIs" dxfId="114" priority="63" operator="equal">
      <formula>1</formula>
    </cfRule>
    <cfRule type="cellIs" dxfId="113" priority="62" operator="lessThan">
      <formula>1</formula>
    </cfRule>
  </conditionalFormatting>
  <conditionalFormatting sqref="K9:R9">
    <cfRule type="cellIs" dxfId="112" priority="53" operator="greaterThanOrEqual">
      <formula>0.95</formula>
    </cfRule>
    <cfRule type="cellIs" dxfId="111" priority="54" operator="lessThan">
      <formula>0.95</formula>
    </cfRule>
    <cfRule type="cellIs" dxfId="110" priority="52" operator="equal">
      <formula>"-"</formula>
    </cfRule>
  </conditionalFormatting>
  <conditionalFormatting sqref="K10:R10">
    <cfRule type="cellIs" dxfId="109" priority="49" operator="greaterThan">
      <formula>1</formula>
    </cfRule>
    <cfRule type="cellIs" dxfId="108" priority="51" operator="lessThan">
      <formula>1</formula>
    </cfRule>
    <cfRule type="cellIs" dxfId="107" priority="50" operator="equal">
      <formula>1</formula>
    </cfRule>
  </conditionalFormatting>
  <conditionalFormatting sqref="K11:R11">
    <cfRule type="cellIs" dxfId="106" priority="41" operator="greaterThanOrEqual">
      <formula>0.95</formula>
    </cfRule>
    <cfRule type="cellIs" dxfId="105" priority="40" operator="equal">
      <formula>"-"</formula>
    </cfRule>
    <cfRule type="cellIs" dxfId="104" priority="42" operator="lessThan">
      <formula>0.95</formula>
    </cfRule>
  </conditionalFormatting>
  <conditionalFormatting sqref="K12:R12">
    <cfRule type="cellIs" dxfId="103" priority="38" operator="equal">
      <formula>1</formula>
    </cfRule>
    <cfRule type="cellIs" dxfId="102" priority="37" operator="greaterThan">
      <formula>1</formula>
    </cfRule>
    <cfRule type="cellIs" dxfId="101" priority="39" operator="lessThan">
      <formula>1</formula>
    </cfRule>
  </conditionalFormatting>
  <conditionalFormatting sqref="K13:R13">
    <cfRule type="cellIs" dxfId="100" priority="29" operator="lessThan">
      <formula>0.8</formula>
    </cfRule>
    <cfRule type="cellIs" dxfId="99" priority="30" operator="greaterThan">
      <formula>0.8</formula>
    </cfRule>
    <cfRule type="cellIs" dxfId="98" priority="28" operator="equal">
      <formula>"-"</formula>
    </cfRule>
  </conditionalFormatting>
  <conditionalFormatting sqref="K14:R14">
    <cfRule type="cellIs" dxfId="97" priority="25" operator="equal">
      <formula>"-"</formula>
    </cfRule>
    <cfRule type="cellIs" dxfId="96" priority="27" operator="greaterThanOrEqual">
      <formula>0.9</formula>
    </cfRule>
    <cfRule type="cellIs" dxfId="95" priority="26" operator="lessThan">
      <formula>0.9</formula>
    </cfRule>
  </conditionalFormatting>
  <conditionalFormatting sqref="K15:R15">
    <cfRule type="cellIs" dxfId="94" priority="17" operator="greaterThanOrEqual">
      <formula>0.95</formula>
    </cfRule>
    <cfRule type="cellIs" dxfId="93" priority="16" operator="equal">
      <formula>"-"</formula>
    </cfRule>
    <cfRule type="cellIs" dxfId="92" priority="18" operator="lessThan">
      <formula>0.95</formula>
    </cfRule>
  </conditionalFormatting>
  <conditionalFormatting sqref="K16:R16">
    <cfRule type="cellIs" dxfId="91" priority="15" operator="lessThan">
      <formula>1</formula>
    </cfRule>
    <cfRule type="cellIs" dxfId="90" priority="14" operator="equal">
      <formula>1</formula>
    </cfRule>
    <cfRule type="cellIs" dxfId="89" priority="13" operator="greaterThan">
      <formula>1</formula>
    </cfRule>
  </conditionalFormatting>
  <conditionalFormatting sqref="K17:R17">
    <cfRule type="cellIs" dxfId="88" priority="6" operator="lessThan">
      <formula>0.95</formula>
    </cfRule>
    <cfRule type="cellIs" dxfId="87" priority="4" operator="equal">
      <formula>"-"</formula>
    </cfRule>
    <cfRule type="cellIs" dxfId="86" priority="5" operator="greaterThanOrEqual">
      <formula>0.95</formula>
    </cfRule>
  </conditionalFormatting>
  <conditionalFormatting sqref="K18:R18">
    <cfRule type="cellIs" dxfId="85" priority="3" operator="lessThan">
      <formula>1</formula>
    </cfRule>
    <cfRule type="cellIs" dxfId="84" priority="2" operator="equal">
      <formula>1</formula>
    </cfRule>
    <cfRule type="cellIs" dxfId="83" priority="1" operator="greaterThan">
      <formula>1</formula>
    </cfRule>
  </conditionalFormatting>
  <conditionalFormatting sqref="K20:R20">
    <cfRule type="containsBlanks" dxfId="82" priority="352">
      <formula>LEN(TRIM(K20))=0</formula>
    </cfRule>
    <cfRule type="cellIs" dxfId="81" priority="353" operator="equal">
      <formula>"-"</formula>
    </cfRule>
    <cfRule type="cellIs" dxfId="80" priority="354" operator="greaterThan">
      <formula>5</formula>
    </cfRule>
    <cfRule type="cellIs" dxfId="79" priority="355" operator="lessThanOrEqual">
      <formula>5</formula>
    </cfRule>
  </conditionalFormatting>
  <conditionalFormatting sqref="K21:R21">
    <cfRule type="cellIs" dxfId="78" priority="347" operator="lessThanOrEqual">
      <formula>4</formula>
    </cfRule>
    <cfRule type="cellIs" dxfId="77" priority="346" operator="greaterThan">
      <formula>4</formula>
    </cfRule>
  </conditionalFormatting>
  <conditionalFormatting sqref="K21:R22">
    <cfRule type="cellIs" dxfId="76" priority="337" operator="equal">
      <formula>"-"</formula>
    </cfRule>
    <cfRule type="containsBlanks" dxfId="75" priority="336">
      <formula>LEN(TRIM(K21))=0</formula>
    </cfRule>
  </conditionalFormatting>
  <conditionalFormatting sqref="K22:R22">
    <cfRule type="cellIs" dxfId="74" priority="338" operator="greaterThan">
      <formula>3</formula>
    </cfRule>
    <cfRule type="cellIs" dxfId="73" priority="339" operator="lessThanOrEqual">
      <formula>3</formula>
    </cfRule>
  </conditionalFormatting>
  <conditionalFormatting sqref="K23:R23">
    <cfRule type="cellIs" dxfId="72" priority="331" operator="greaterThanOrEqual">
      <formula>0.99</formula>
    </cfRule>
    <cfRule type="cellIs" dxfId="71" priority="330" operator="between">
      <formula>0.98</formula>
      <formula>0.99</formula>
    </cfRule>
    <cfRule type="cellIs" dxfId="70" priority="329" operator="lessThan">
      <formula>0.98</formula>
    </cfRule>
  </conditionalFormatting>
  <conditionalFormatting sqref="K23:R24">
    <cfRule type="cellIs" dxfId="69" priority="320" operator="equal">
      <formula>"-"</formula>
    </cfRule>
  </conditionalFormatting>
  <conditionalFormatting sqref="K24:R24">
    <cfRule type="cellIs" dxfId="68" priority="321" operator="lessThan">
      <formula>0.8</formula>
    </cfRule>
    <cfRule type="cellIs" dxfId="67" priority="323" operator="greaterThanOrEqual">
      <formula>0.9</formula>
    </cfRule>
    <cfRule type="cellIs" dxfId="66" priority="322" operator="between">
      <formula>0.8</formula>
      <formula>0.9</formula>
    </cfRule>
  </conditionalFormatting>
  <conditionalFormatting sqref="K26:R26">
    <cfRule type="cellIs" dxfId="65" priority="267" operator="lessThan">
      <formula>99</formula>
    </cfRule>
    <cfRule type="cellIs" dxfId="64" priority="266" operator="equal">
      <formula>"-"</formula>
    </cfRule>
    <cfRule type="cellIs" dxfId="63" priority="268" operator="greaterThanOrEqual">
      <formula>99</formula>
    </cfRule>
    <cfRule type="containsBlanks" dxfId="62" priority="269">
      <formula>LEN(TRIM(K26))=0</formula>
    </cfRule>
  </conditionalFormatting>
  <conditionalFormatting sqref="K27:R27">
    <cfRule type="cellIs" dxfId="61" priority="260" operator="greaterThanOrEqual">
      <formula>90</formula>
    </cfRule>
    <cfRule type="cellIs" dxfId="60" priority="259" operator="between">
      <formula>70</formula>
      <formula>89.9999999</formula>
    </cfRule>
    <cfRule type="cellIs" dxfId="59" priority="257" operator="equal">
      <formula>"-"</formula>
    </cfRule>
    <cfRule type="containsBlanks" dxfId="58" priority="256">
      <formula>LEN(TRIM(K27))=0</formula>
    </cfRule>
    <cfRule type="cellIs" dxfId="57" priority="258" operator="lessThan">
      <formula>70</formula>
    </cfRule>
  </conditionalFormatting>
  <conditionalFormatting sqref="K28:R28">
    <cfRule type="cellIs" dxfId="56" priority="251" operator="greaterThanOrEqual">
      <formula>0.7</formula>
    </cfRule>
    <cfRule type="cellIs" dxfId="55" priority="249" operator="lessThan">
      <formula>0.6</formula>
    </cfRule>
    <cfRule type="cellIs" dxfId="54" priority="250" operator="between">
      <formula>0.6</formula>
      <formula>0.7</formula>
    </cfRule>
  </conditionalFormatting>
  <conditionalFormatting sqref="K28:R30">
    <cfRule type="cellIs" dxfId="53" priority="232" operator="equal">
      <formula>"-"</formula>
    </cfRule>
  </conditionalFormatting>
  <conditionalFormatting sqref="K29:R29">
    <cfRule type="cellIs" dxfId="52" priority="243" operator="greaterThanOrEqual">
      <formula>0.8</formula>
    </cfRule>
    <cfRule type="cellIs" dxfId="51" priority="242" operator="between">
      <formula>0.7</formula>
      <formula>0.8</formula>
    </cfRule>
    <cfRule type="cellIs" dxfId="50" priority="241" operator="lessThan">
      <formula>0.7</formula>
    </cfRule>
  </conditionalFormatting>
  <conditionalFormatting sqref="K30:R30">
    <cfRule type="cellIs" dxfId="49" priority="233" operator="lessThan">
      <formula>0.6</formula>
    </cfRule>
    <cfRule type="cellIs" dxfId="48" priority="234" operator="between">
      <formula>0.6</formula>
      <formula>0.7</formula>
    </cfRule>
    <cfRule type="cellIs" dxfId="47" priority="235" operator="greaterThanOrEqual">
      <formula>0.7</formula>
    </cfRule>
  </conditionalFormatting>
  <conditionalFormatting sqref="K32:R33">
    <cfRule type="cellIs" dxfId="46" priority="7408" operator="equal">
      <formula>"-"</formula>
    </cfRule>
    <cfRule type="cellIs" dxfId="45" priority="7409" operator="greaterThan">
      <formula>0.07</formula>
    </cfRule>
    <cfRule type="cellIs" dxfId="44" priority="7411" operator="lessThan">
      <formula>0.05</formula>
    </cfRule>
    <cfRule type="cellIs" dxfId="43" priority="7410" operator="between">
      <formula>0.05</formula>
      <formula>0.07</formula>
    </cfRule>
  </conditionalFormatting>
  <conditionalFormatting sqref="K35:R35">
    <cfRule type="cellIs" dxfId="42" priority="7402" operator="between">
      <formula>0.75</formula>
      <formula>0.8</formula>
    </cfRule>
    <cfRule type="cellIs" dxfId="41" priority="7403" operator="greaterThanOrEqual">
      <formula>0.8</formula>
    </cfRule>
    <cfRule type="cellIs" dxfId="40" priority="7400" operator="equal">
      <formula>"-"</formula>
    </cfRule>
    <cfRule type="cellIs" dxfId="39" priority="7401" operator="lessThan">
      <formula>0.75</formula>
    </cfRule>
  </conditionalFormatting>
  <conditionalFormatting sqref="K36:R36">
    <cfRule type="cellIs" dxfId="38" priority="7390" operator="between">
      <formula>0.8</formula>
      <formula>0.95</formula>
    </cfRule>
    <cfRule type="cellIs" dxfId="37" priority="7389" operator="greaterThanOrEqual">
      <formula>0.95</formula>
    </cfRule>
  </conditionalFormatting>
  <conditionalFormatting sqref="K36:R37">
    <cfRule type="cellIs" dxfId="36" priority="7388" operator="equal">
      <formula>"-"</formula>
    </cfRule>
    <cfRule type="cellIs" dxfId="35" priority="7391" operator="lessThan">
      <formula>0.8</formula>
    </cfRule>
  </conditionalFormatting>
  <conditionalFormatting sqref="K37:R37">
    <cfRule type="cellIs" dxfId="34" priority="7426" operator="greaterThan">
      <formula>0.8</formula>
    </cfRule>
  </conditionalFormatting>
  <conditionalFormatting sqref="K38:R38">
    <cfRule type="cellIs" dxfId="33" priority="7458" operator="equal">
      <formula>"-"</formula>
    </cfRule>
  </conditionalFormatting>
  <conditionalFormatting sqref="K38:R42">
    <cfRule type="containsBlanks" dxfId="32" priority="200">
      <formula>LEN(TRIM(K38))=0</formula>
    </cfRule>
  </conditionalFormatting>
  <conditionalFormatting sqref="K40:R40">
    <cfRule type="cellIs" dxfId="31" priority="7478" operator="equal">
      <formula>"-"</formula>
    </cfRule>
    <cfRule type="cellIs" dxfId="30" priority="7479" operator="lessThan">
      <formula>0.9</formula>
    </cfRule>
    <cfRule type="cellIs" dxfId="29" priority="7480" operator="greaterThanOrEqual">
      <formula>0.9</formula>
    </cfRule>
  </conditionalFormatting>
  <conditionalFormatting sqref="K41:R41">
    <cfRule type="cellIs" dxfId="28" priority="7450" operator="lessThan">
      <formula>0.73</formula>
    </cfRule>
    <cfRule type="cellIs" dxfId="27" priority="7451" operator="equal">
      <formula>"-"</formula>
    </cfRule>
    <cfRule type="cellIs" dxfId="26" priority="7452" operator="greaterThanOrEqual">
      <formula>0.73</formula>
    </cfRule>
  </conditionalFormatting>
  <conditionalFormatting sqref="L42">
    <cfRule type="cellIs" dxfId="25" priority="211" operator="greaterThanOrEqual">
      <formula>0.79</formula>
    </cfRule>
    <cfRule type="cellIs" dxfId="24" priority="209" operator="lessThan">
      <formula>0.79</formula>
    </cfRule>
  </conditionalFormatting>
  <conditionalFormatting sqref="L42:M42">
    <cfRule type="cellIs" dxfId="23" priority="210" operator="equal">
      <formula>"-"</formula>
    </cfRule>
  </conditionalFormatting>
  <conditionalFormatting sqref="L43:M43">
    <cfRule type="cellIs" dxfId="22" priority="195" operator="greaterThanOrEqual">
      <formula>0.69</formula>
    </cfRule>
    <cfRule type="cellIs" dxfId="21" priority="194" operator="equal">
      <formula>"-"</formula>
    </cfRule>
    <cfRule type="cellIs" dxfId="20" priority="193" operator="lessThan">
      <formula>0.69</formula>
    </cfRule>
    <cfRule type="containsBlanks" dxfId="19" priority="192">
      <formula>LEN(TRIM(L43))=0</formula>
    </cfRule>
  </conditionalFormatting>
  <conditionalFormatting sqref="M42:N42 Q42:R42">
    <cfRule type="cellIs" dxfId="18" priority="205" operator="lessThan">
      <formula>0.8</formula>
    </cfRule>
    <cfRule type="cellIs" dxfId="17" priority="207" operator="greaterThanOrEqual">
      <formula>0.8</formula>
    </cfRule>
  </conditionalFormatting>
  <conditionalFormatting sqref="N42 Q42:R42">
    <cfRule type="cellIs" dxfId="16" priority="206" operator="equal">
      <formula>"-"</formula>
    </cfRule>
  </conditionalFormatting>
  <conditionalFormatting sqref="N43">
    <cfRule type="cellIs" dxfId="15" priority="189" operator="equal">
      <formula>"-"</formula>
    </cfRule>
    <cfRule type="cellIs" dxfId="14" priority="190" operator="lessThan">
      <formula>0.7</formula>
    </cfRule>
    <cfRule type="containsBlanks" dxfId="13" priority="188">
      <formula>LEN(TRIM(N43))=0</formula>
    </cfRule>
    <cfRule type="cellIs" dxfId="12" priority="191" operator="greaterThanOrEqual">
      <formula>0.7</formula>
    </cfRule>
  </conditionalFormatting>
  <conditionalFormatting sqref="O39:P39">
    <cfRule type="cellIs" dxfId="11" priority="7456" operator="greaterThanOrEqual">
      <formula>0.7</formula>
    </cfRule>
    <cfRule type="cellIs" dxfId="10" priority="7454" operator="equal">
      <formula>"-"</formula>
    </cfRule>
    <cfRule type="cellIs" dxfId="9" priority="7455" operator="lessThanOrEqual">
      <formula>0.7</formula>
    </cfRule>
  </conditionalFormatting>
  <conditionalFormatting sqref="O42:P42">
    <cfRule type="cellIs" dxfId="8" priority="203" operator="greaterThanOrEqual">
      <formula>0.79</formula>
    </cfRule>
    <cfRule type="cellIs" dxfId="7" priority="202" operator="equal">
      <formula>"-"</formula>
    </cfRule>
    <cfRule type="cellIs" dxfId="6" priority="201" operator="lessThan">
      <formula>0.79</formula>
    </cfRule>
  </conditionalFormatting>
  <conditionalFormatting sqref="O38:R38">
    <cfRule type="cellIs" dxfId="5" priority="7459" operator="lessThanOrEqual">
      <formula>0.7</formula>
    </cfRule>
    <cfRule type="cellIs" dxfId="4" priority="7460" operator="greaterThanOrEqual">
      <formula>0.7</formula>
    </cfRule>
  </conditionalFormatting>
  <conditionalFormatting sqref="O43:R43">
    <cfRule type="containsBlanks" dxfId="3" priority="184">
      <formula>LEN(TRIM(O43))=0</formula>
    </cfRule>
    <cfRule type="cellIs" dxfId="2" priority="185" operator="lessThan">
      <formula>0.69</formula>
    </cfRule>
    <cfRule type="cellIs" dxfId="1" priority="186" operator="equal">
      <formula>"-"</formula>
    </cfRule>
    <cfRule type="cellIs" dxfId="0" priority="187" operator="greaterThanOrEqual">
      <formula>0.69</formula>
    </cfRule>
  </conditionalFormatting>
  <pageMargins left="0.7" right="0.7" top="0.75" bottom="0.75" header="0.3" footer="0.3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/>
  <dimension ref="A1:E28"/>
  <sheetViews>
    <sheetView workbookViewId="0">
      <selection activeCell="E22" sqref="E22"/>
    </sheetView>
  </sheetViews>
  <sheetFormatPr defaultRowHeight="15" x14ac:dyDescent="0.25"/>
  <cols>
    <col min="1" max="1" width="32.28515625" bestFit="1" customWidth="1"/>
    <col min="2" max="2" width="10.7109375" style="6" customWidth="1"/>
  </cols>
  <sheetData>
    <row r="1" spans="1:5" x14ac:dyDescent="0.25">
      <c r="A1" s="1" t="s">
        <v>250</v>
      </c>
      <c r="B1" s="2" t="s">
        <v>251</v>
      </c>
    </row>
    <row r="2" spans="1:5" x14ac:dyDescent="0.25">
      <c r="A2" s="3" t="s">
        <v>159</v>
      </c>
      <c r="B2" s="4">
        <v>6.4906849517466864E-2</v>
      </c>
      <c r="E2" s="13" t="s">
        <v>252</v>
      </c>
    </row>
    <row r="3" spans="1:5" x14ac:dyDescent="0.25">
      <c r="A3" s="5" t="s">
        <v>160</v>
      </c>
      <c r="B3" s="6">
        <v>7.0000000000000021E-2</v>
      </c>
      <c r="E3" s="53" t="s">
        <v>253</v>
      </c>
    </row>
    <row r="4" spans="1:5" x14ac:dyDescent="0.25">
      <c r="A4" s="5" t="s">
        <v>161</v>
      </c>
      <c r="B4" s="6">
        <v>7.0000000000000007E-2</v>
      </c>
      <c r="E4" s="56" t="s">
        <v>254</v>
      </c>
    </row>
    <row r="5" spans="1:5" x14ac:dyDescent="0.25">
      <c r="A5" s="5" t="s">
        <v>162</v>
      </c>
      <c r="B5" s="6">
        <v>6.8482334491559313E-2</v>
      </c>
      <c r="E5" s="54" t="s">
        <v>255</v>
      </c>
    </row>
    <row r="6" spans="1:5" x14ac:dyDescent="0.25">
      <c r="A6" s="5" t="s">
        <v>163</v>
      </c>
      <c r="B6" s="6">
        <v>7.3462497329851245E-2</v>
      </c>
      <c r="E6" s="55" t="s">
        <v>256</v>
      </c>
    </row>
    <row r="7" spans="1:5" x14ac:dyDescent="0.25">
      <c r="A7" s="5" t="s">
        <v>164</v>
      </c>
      <c r="B7" s="6">
        <v>5.2549999352993697E-2</v>
      </c>
      <c r="E7" s="57" t="s">
        <v>257</v>
      </c>
    </row>
    <row r="8" spans="1:5" x14ac:dyDescent="0.25">
      <c r="A8" s="5" t="s">
        <v>165</v>
      </c>
      <c r="B8" s="6">
        <v>5.845731939591408E-2</v>
      </c>
      <c r="E8" s="56" t="s">
        <v>258</v>
      </c>
    </row>
    <row r="9" spans="1:5" x14ac:dyDescent="0.25">
      <c r="A9" s="3" t="s">
        <v>101</v>
      </c>
      <c r="B9" s="4">
        <v>6.5511491407965902E-2</v>
      </c>
    </row>
    <row r="10" spans="1:5" x14ac:dyDescent="0.25">
      <c r="A10" s="5" t="s">
        <v>166</v>
      </c>
      <c r="B10" s="6">
        <v>7.6171882726951579E-2</v>
      </c>
    </row>
    <row r="11" spans="1:5" x14ac:dyDescent="0.25">
      <c r="A11" s="5" t="s">
        <v>167</v>
      </c>
      <c r="B11" s="6">
        <v>6.1340735993502399E-2</v>
      </c>
    </row>
    <row r="12" spans="1:5" x14ac:dyDescent="0.25">
      <c r="A12" s="5" t="s">
        <v>168</v>
      </c>
      <c r="B12" s="6">
        <v>7.0000000000000007E-2</v>
      </c>
    </row>
    <row r="13" spans="1:5" x14ac:dyDescent="0.25">
      <c r="A13" s="5" t="s">
        <v>169</v>
      </c>
      <c r="B13" s="6">
        <v>6.1127020006284685E-2</v>
      </c>
    </row>
    <row r="14" spans="1:5" x14ac:dyDescent="0.25">
      <c r="A14" s="5" t="s">
        <v>170</v>
      </c>
      <c r="B14" s="6">
        <v>7.0000000000000021E-2</v>
      </c>
    </row>
    <row r="15" spans="1:5" x14ac:dyDescent="0.25">
      <c r="A15" s="3" t="s">
        <v>102</v>
      </c>
      <c r="B15" s="4">
        <v>7.2375301383687932E-2</v>
      </c>
    </row>
    <row r="16" spans="1:5" x14ac:dyDescent="0.25">
      <c r="A16" s="5" t="s">
        <v>171</v>
      </c>
      <c r="B16" s="6">
        <v>6.9999999999999979E-2</v>
      </c>
    </row>
    <row r="17" spans="1:2" x14ac:dyDescent="0.25">
      <c r="A17" s="5" t="s">
        <v>172</v>
      </c>
      <c r="B17" s="6">
        <v>7.1425834234009902E-2</v>
      </c>
    </row>
    <row r="18" spans="1:2" x14ac:dyDescent="0.25">
      <c r="A18" s="5" t="s">
        <v>173</v>
      </c>
      <c r="B18" s="6">
        <v>7.0000000000000034E-2</v>
      </c>
    </row>
    <row r="19" spans="1:2" x14ac:dyDescent="0.25">
      <c r="A19" s="5" t="s">
        <v>174</v>
      </c>
      <c r="B19" s="6">
        <v>7.5739319552224196E-2</v>
      </c>
    </row>
    <row r="20" spans="1:2" x14ac:dyDescent="0.25">
      <c r="A20" s="3" t="s">
        <v>103</v>
      </c>
      <c r="B20" s="4">
        <v>5.0489647558992864E-2</v>
      </c>
    </row>
    <row r="21" spans="1:2" x14ac:dyDescent="0.25">
      <c r="A21" s="5" t="s">
        <v>175</v>
      </c>
      <c r="B21" s="6">
        <v>3.7119253047564742E-2</v>
      </c>
    </row>
    <row r="22" spans="1:2" x14ac:dyDescent="0.25">
      <c r="A22" s="5" t="s">
        <v>176</v>
      </c>
      <c r="B22" s="6">
        <v>5.7020713970431972E-2</v>
      </c>
    </row>
    <row r="23" spans="1:2" x14ac:dyDescent="0.25">
      <c r="A23" s="5" t="s">
        <v>177</v>
      </c>
      <c r="B23" s="6">
        <v>4.8296049594816953E-2</v>
      </c>
    </row>
    <row r="24" spans="1:2" x14ac:dyDescent="0.25">
      <c r="A24" s="3" t="s">
        <v>104</v>
      </c>
      <c r="B24" s="4">
        <v>3.9512715254517869E-2</v>
      </c>
    </row>
    <row r="25" spans="1:2" x14ac:dyDescent="0.25">
      <c r="A25" s="5" t="s">
        <v>178</v>
      </c>
      <c r="B25" s="6">
        <v>3.1086140803671908E-2</v>
      </c>
    </row>
    <row r="26" spans="1:2" x14ac:dyDescent="0.25">
      <c r="A26" s="5" t="s">
        <v>179</v>
      </c>
      <c r="B26" s="6">
        <v>4.2293509035830346E-2</v>
      </c>
    </row>
    <row r="27" spans="1:2" x14ac:dyDescent="0.25">
      <c r="A27" s="5" t="s">
        <v>180</v>
      </c>
      <c r="B27" s="6">
        <v>4.4926172109566252E-2</v>
      </c>
    </row>
    <row r="28" spans="1:2" x14ac:dyDescent="0.25">
      <c r="A28" s="7" t="s">
        <v>40</v>
      </c>
      <c r="B28" s="8">
        <v>7.0070808304214832E-2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e2d186-c8cb-4b42-899f-92b58c6f772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69C4EDA658DE4F923D1D46DA2D9E4A" ma:contentTypeVersion="16" ma:contentTypeDescription="Create a new document." ma:contentTypeScope="" ma:versionID="b553d2e8c6ee704ae96144d88a11438f">
  <xsd:schema xmlns:xsd="http://www.w3.org/2001/XMLSchema" xmlns:xs="http://www.w3.org/2001/XMLSchema" xmlns:p="http://schemas.microsoft.com/office/2006/metadata/properties" xmlns:ns3="13e2d186-c8cb-4b42-899f-92b58c6f772c" xmlns:ns4="0db5fc9e-df68-4505-911d-1b84f63bfa9a" targetNamespace="http://schemas.microsoft.com/office/2006/metadata/properties" ma:root="true" ma:fieldsID="85913b8d07f9f1ee862f0a4e2d32cb99" ns3:_="" ns4:_="">
    <xsd:import namespace="13e2d186-c8cb-4b42-899f-92b58c6f772c"/>
    <xsd:import namespace="0db5fc9e-df68-4505-911d-1b84f63bfa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2d186-c8cb-4b42-899f-92b58c6f77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5fc9e-df68-4505-911d-1b84f63bfa9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36DCE8-513F-4898-91CC-DF27BEF42B66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0db5fc9e-df68-4505-911d-1b84f63bfa9a"/>
    <ds:schemaRef ds:uri="13e2d186-c8cb-4b42-899f-92b58c6f772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2949275-E45E-4A46-87BC-14FFD3B8D0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e2d186-c8cb-4b42-899f-92b58c6f772c"/>
    <ds:schemaRef ds:uri="0db5fc9e-df68-4505-911d-1b84f63bf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87D624-67B5-4481-995F-26BB897146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KP_ActionPlan</vt:lpstr>
      <vt:lpstr>KP</vt:lpstr>
      <vt:lpstr>KP_2025_CFF</vt:lpstr>
      <vt:lpstr>KP_2025_DDZ</vt:lpstr>
      <vt:lpstr>KP_2025_NFF</vt:lpstr>
      <vt:lpstr>PK</vt:lpstr>
      <vt:lpstr>PP</vt:lpstr>
      <vt:lpstr>Northern</vt:lpstr>
      <vt:lpstr>WK23</vt:lpstr>
      <vt:lpstr>WK22</vt:lpstr>
      <vt:lpstr>Sheet1</vt:lpstr>
      <vt:lpstr>CXC</vt:lpstr>
      <vt:lpstr>FR OP</vt:lpstr>
    </vt:vector>
  </TitlesOfParts>
  <Manager/>
  <Company>Telekom Malaysia (TM) Berhad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 Jee Moi</dc:creator>
  <cp:keywords/>
  <dc:description/>
  <cp:lastModifiedBy>MAIZATUL AIDIL AYUNI BINTI MAHDHIR</cp:lastModifiedBy>
  <cp:revision/>
  <dcterms:created xsi:type="dcterms:W3CDTF">2020-02-09T13:15:05Z</dcterms:created>
  <dcterms:modified xsi:type="dcterms:W3CDTF">2025-11-04T09:25:31Z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0x0101008969C4EDA658DE4F923D1D46DA2D9E4A</vt:lpwstr>
  </property>
</Properties>
</file>